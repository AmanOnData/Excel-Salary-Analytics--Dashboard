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F:\excel by satish dhawle\top versity project\"/>
    </mc:Choice>
  </mc:AlternateContent>
  <xr:revisionPtr revIDLastSave="0" documentId="13_ncr:1_{1220A4EE-D123-48DC-8A87-312003BFF38A}" xr6:coauthVersionLast="47" xr6:coauthVersionMax="47" xr10:uidLastSave="{00000000-0000-0000-0000-000000000000}"/>
  <bookViews>
    <workbookView xWindow="-108" yWindow="-108" windowWidth="23256" windowHeight="12456" activeTab="2" xr2:uid="{49BCA8C4-B07E-9048-BD86-A9D68C5B533E}"/>
  </bookViews>
  <sheets>
    <sheet name="Report" sheetId="2" r:id="rId1"/>
    <sheet name="Rawdata" sheetId="1" r:id="rId2"/>
    <sheet name="Dashboard" sheetId="3" r:id="rId3"/>
  </sheets>
  <definedNames>
    <definedName name="Slicer_JobRol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4" i="2" l="1"/>
  <c r="B10" i="2"/>
</calcChain>
</file>

<file path=xl/sharedStrings.xml><?xml version="1.0" encoding="utf-8"?>
<sst xmlns="http://schemas.openxmlformats.org/spreadsheetml/2006/main" count="386" uniqueCount="105">
  <si>
    <t>EmployeeID</t>
  </si>
  <si>
    <t>Name</t>
  </si>
  <si>
    <t>Department</t>
  </si>
  <si>
    <t>Experience_Years</t>
  </si>
  <si>
    <t>Education_Level</t>
  </si>
  <si>
    <t>Age</t>
  </si>
  <si>
    <t>Gender</t>
  </si>
  <si>
    <t>City</t>
  </si>
  <si>
    <t>Monthly_Salary</t>
  </si>
  <si>
    <t>JobRole</t>
  </si>
  <si>
    <t>Claire Gute</t>
  </si>
  <si>
    <t>Marketing</t>
  </si>
  <si>
    <t>Master</t>
  </si>
  <si>
    <t>Female</t>
  </si>
  <si>
    <t>Delhi</t>
  </si>
  <si>
    <t>Sales Executive</t>
  </si>
  <si>
    <t>Darrin Van Huff</t>
  </si>
  <si>
    <t>Operations</t>
  </si>
  <si>
    <t>Bachelor</t>
  </si>
  <si>
    <t>Bangalore</t>
  </si>
  <si>
    <t>Customer Support Executive</t>
  </si>
  <si>
    <t>Sean O'Donnell</t>
  </si>
  <si>
    <t>IT</t>
  </si>
  <si>
    <t>High School</t>
  </si>
  <si>
    <t>Hyderabad</t>
  </si>
  <si>
    <t>Data Analyst</t>
  </si>
  <si>
    <t>Brosina Hoffman</t>
  </si>
  <si>
    <t>PhD</t>
  </si>
  <si>
    <t>Male</t>
  </si>
  <si>
    <t>Andrew Allen</t>
  </si>
  <si>
    <t>Chat Support Executive</t>
  </si>
  <si>
    <t>Irene Maddox</t>
  </si>
  <si>
    <t>Finance</t>
  </si>
  <si>
    <t>Mumbai</t>
  </si>
  <si>
    <t>Accoutant</t>
  </si>
  <si>
    <t>Harold Pawlan</t>
  </si>
  <si>
    <t>Web Developer</t>
  </si>
  <si>
    <t>Pete Kriz</t>
  </si>
  <si>
    <t>Manager</t>
  </si>
  <si>
    <t>Alejandro Grove</t>
  </si>
  <si>
    <t>Assis. Manager</t>
  </si>
  <si>
    <t>Zuschuss Donatelli</t>
  </si>
  <si>
    <t>Ken Black</t>
  </si>
  <si>
    <t>Marketing Executive</t>
  </si>
  <si>
    <t>Sandra Flanagan</t>
  </si>
  <si>
    <t>Backend Develper</t>
  </si>
  <si>
    <t>Emily Burns</t>
  </si>
  <si>
    <t>TL</t>
  </si>
  <si>
    <t>Eric Hoffmann</t>
  </si>
  <si>
    <t>Tracy Blumstein</t>
  </si>
  <si>
    <t>Social Media Executive</t>
  </si>
  <si>
    <t>Matt Abelman</t>
  </si>
  <si>
    <t>Gene Hale</t>
  </si>
  <si>
    <t>Research Scientist</t>
  </si>
  <si>
    <t>Steve Nguyen</t>
  </si>
  <si>
    <t>Chennai</t>
  </si>
  <si>
    <t>Linda Cazamias</t>
  </si>
  <si>
    <t>HR</t>
  </si>
  <si>
    <t>HR Manager</t>
  </si>
  <si>
    <t>Ruben Ausman</t>
  </si>
  <si>
    <t>Erin Smith</t>
  </si>
  <si>
    <t>Odella Nelson</t>
  </si>
  <si>
    <t>Patrick O'Donnell</t>
  </si>
  <si>
    <t>Research Director</t>
  </si>
  <si>
    <t>Lena Hernandez</t>
  </si>
  <si>
    <t>HR Executive</t>
  </si>
  <si>
    <t>Darren Powers</t>
  </si>
  <si>
    <t>Janet Molinari</t>
  </si>
  <si>
    <t>Testing Executive</t>
  </si>
  <si>
    <t>Ted Butterfield</t>
  </si>
  <si>
    <t>Kunst Miller</t>
  </si>
  <si>
    <t>Paul Stevenson</t>
  </si>
  <si>
    <t>Brendan Sweed</t>
  </si>
  <si>
    <t>Karen Daniels</t>
  </si>
  <si>
    <t>MIS Executive</t>
  </si>
  <si>
    <t>Henry MacAllister</t>
  </si>
  <si>
    <t>Joel Eaton</t>
  </si>
  <si>
    <t>Ken Brennan</t>
  </si>
  <si>
    <t>Stewart Carmichael</t>
  </si>
  <si>
    <t>Duane Noonan</t>
  </si>
  <si>
    <t>Julie Creighton</t>
  </si>
  <si>
    <t>Christopher Schild</t>
  </si>
  <si>
    <t>Paul Gonzalez</t>
  </si>
  <si>
    <t>Onboard Executive</t>
  </si>
  <si>
    <t>Gary Mitchum</t>
  </si>
  <si>
    <t>Jim Sink</t>
  </si>
  <si>
    <t>Karl Braun</t>
  </si>
  <si>
    <t>Roger Barcio</t>
  </si>
  <si>
    <t>Parhena Norris</t>
  </si>
  <si>
    <t>Katherine Ducich</t>
  </si>
  <si>
    <t>Sr. Accountant</t>
  </si>
  <si>
    <t>Elpida Rittenbach</t>
  </si>
  <si>
    <t>Hiring Manager</t>
  </si>
  <si>
    <t>Rick Bensley</t>
  </si>
  <si>
    <t>Gary Zandusky</t>
  </si>
  <si>
    <t>Lena Cacioppo</t>
  </si>
  <si>
    <t>CFO</t>
  </si>
  <si>
    <t>Janet Martin</t>
  </si>
  <si>
    <t>Row Labels</t>
  </si>
  <si>
    <t>Grand Total</t>
  </si>
  <si>
    <t>Sum of Monthly_Salary</t>
  </si>
  <si>
    <t>Column Labels</t>
  </si>
  <si>
    <t>Count of Name</t>
  </si>
  <si>
    <t>Total Salary</t>
  </si>
  <si>
    <t>Total Emp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</si>
</sst>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DataSet (Recovered).xlsx]Report!SalarybyDep</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 Salary</a:t>
            </a:r>
            <a:r>
              <a:rPr lang="en-US" baseline="0"/>
              <a:t> by Dep</a:t>
            </a:r>
            <a:endParaRPr lang="en-US"/>
          </a:p>
        </c:rich>
      </c:tx>
      <c:layout>
        <c:manualLayout>
          <c:xMode val="edge"/>
          <c:yMode val="edge"/>
          <c:x val="0.1934838466889067"/>
          <c:y val="1.198105860671609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9050604505684157"/>
          <c:y val="0.15850704689075021"/>
          <c:w val="0.68527879441254447"/>
          <c:h val="0.83833778377774093"/>
        </c:manualLayout>
      </c:layout>
      <c:doughnutChart>
        <c:varyColors val="1"/>
        <c:ser>
          <c:idx val="0"/>
          <c:order val="0"/>
          <c:tx>
            <c:strRef>
              <c:f>Report!$B$3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8CA-4F66-A080-7B8BC616466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8CA-4F66-A080-7B8BC616466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8CA-4F66-A080-7B8BC616466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8CA-4F66-A080-7B8BC616466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8CA-4F66-A080-7B8BC616466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Report!$A$4:$A$8</c:f>
              <c:strCache>
                <c:ptCount val="5"/>
                <c:pt idx="0">
                  <c:v>Finance</c:v>
                </c:pt>
                <c:pt idx="1">
                  <c:v>HR</c:v>
                </c:pt>
                <c:pt idx="2">
                  <c:v>IT</c:v>
                </c:pt>
                <c:pt idx="3">
                  <c:v>Marketing</c:v>
                </c:pt>
                <c:pt idx="4">
                  <c:v>Operations</c:v>
                </c:pt>
              </c:strCache>
            </c:strRef>
          </c:cat>
          <c:val>
            <c:numRef>
              <c:f>Report!$B$4:$B$8</c:f>
              <c:numCache>
                <c:formatCode>General</c:formatCode>
                <c:ptCount val="5"/>
                <c:pt idx="0">
                  <c:v>672619</c:v>
                </c:pt>
                <c:pt idx="1">
                  <c:v>580616</c:v>
                </c:pt>
                <c:pt idx="2">
                  <c:v>765205</c:v>
                </c:pt>
                <c:pt idx="3">
                  <c:v>1253601</c:v>
                </c:pt>
                <c:pt idx="4">
                  <c:v>842399</c:v>
                </c:pt>
              </c:numCache>
            </c:numRef>
          </c:val>
          <c:extLst>
            <c:ext xmlns:c16="http://schemas.microsoft.com/office/drawing/2014/chart" uri="{C3380CC4-5D6E-409C-BE32-E72D297353CC}">
              <c16:uniqueId val="{0000000A-98CA-4F66-A080-7B8BC6164662}"/>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DataSet (Recovered).xlsx]Report!SalarybyCity</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
            </a:r>
            <a:r>
              <a:rPr lang="en-US" baseline="0"/>
              <a:t> Salary by City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9.9227305386137096E-2"/>
          <c:y val="0.1555062456649928"/>
          <c:w val="0.80438414523522661"/>
          <c:h val="0.83689452991850422"/>
        </c:manualLayout>
      </c:layout>
      <c:doughnutChart>
        <c:varyColors val="1"/>
        <c:ser>
          <c:idx val="0"/>
          <c:order val="0"/>
          <c:tx>
            <c:strRef>
              <c:f>Report!$E$3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405-4EAA-BF20-A649E3C2F3A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405-4EAA-BF20-A649E3C2F3A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405-4EAA-BF20-A649E3C2F3A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405-4EAA-BF20-A649E3C2F3A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405-4EAA-BF20-A649E3C2F3A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Report!$D$4:$D$9</c:f>
              <c:strCache>
                <c:ptCount val="5"/>
                <c:pt idx="0">
                  <c:v>Bangalore</c:v>
                </c:pt>
                <c:pt idx="1">
                  <c:v>Chennai</c:v>
                </c:pt>
                <c:pt idx="2">
                  <c:v>Delhi</c:v>
                </c:pt>
                <c:pt idx="3">
                  <c:v>Hyderabad</c:v>
                </c:pt>
                <c:pt idx="4">
                  <c:v>Mumbai</c:v>
                </c:pt>
              </c:strCache>
            </c:strRef>
          </c:cat>
          <c:val>
            <c:numRef>
              <c:f>Report!$E$4:$E$9</c:f>
              <c:numCache>
                <c:formatCode>General</c:formatCode>
                <c:ptCount val="5"/>
                <c:pt idx="0">
                  <c:v>1089045</c:v>
                </c:pt>
                <c:pt idx="1">
                  <c:v>286898</c:v>
                </c:pt>
                <c:pt idx="2">
                  <c:v>1399987</c:v>
                </c:pt>
                <c:pt idx="3">
                  <c:v>809788</c:v>
                </c:pt>
                <c:pt idx="4">
                  <c:v>528722</c:v>
                </c:pt>
              </c:numCache>
            </c:numRef>
          </c:val>
          <c:extLst>
            <c:ext xmlns:c16="http://schemas.microsoft.com/office/drawing/2014/chart" uri="{C3380CC4-5D6E-409C-BE32-E72D297353CC}">
              <c16:uniqueId val="{0000000A-E405-4EAA-BF20-A649E3C2F3AF}"/>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DataSet (Recovered).xlsx]Report!City_Dep_Emp</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5"/>
          <c:order val="0"/>
          <c:tx>
            <c:strRef>
              <c:f>Report!$B$19:$B$20</c:f>
              <c:strCache>
                <c:ptCount val="1"/>
                <c:pt idx="0">
                  <c:v>Finance</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Report!$A$21:$A$26</c:f>
              <c:strCache>
                <c:ptCount val="5"/>
                <c:pt idx="0">
                  <c:v>Bangalore</c:v>
                </c:pt>
                <c:pt idx="1">
                  <c:v>Chennai</c:v>
                </c:pt>
                <c:pt idx="2">
                  <c:v>Delhi</c:v>
                </c:pt>
                <c:pt idx="3">
                  <c:v>Hyderabad</c:v>
                </c:pt>
                <c:pt idx="4">
                  <c:v>Mumbai</c:v>
                </c:pt>
              </c:strCache>
            </c:strRef>
          </c:cat>
          <c:val>
            <c:numRef>
              <c:f>Report!$B$21:$B$26</c:f>
              <c:numCache>
                <c:formatCode>General</c:formatCode>
                <c:ptCount val="5"/>
                <c:pt idx="2">
                  <c:v>5</c:v>
                </c:pt>
                <c:pt idx="3">
                  <c:v>3</c:v>
                </c:pt>
                <c:pt idx="4">
                  <c:v>2</c:v>
                </c:pt>
              </c:numCache>
            </c:numRef>
          </c:val>
          <c:extLst>
            <c:ext xmlns:c16="http://schemas.microsoft.com/office/drawing/2014/chart" uri="{C3380CC4-5D6E-409C-BE32-E72D297353CC}">
              <c16:uniqueId val="{00000014-B682-4FCF-8495-0DB5B7EEE624}"/>
            </c:ext>
          </c:extLst>
        </c:ser>
        <c:ser>
          <c:idx val="0"/>
          <c:order val="1"/>
          <c:tx>
            <c:strRef>
              <c:f>Report!$C$19:$C$20</c:f>
              <c:strCache>
                <c:ptCount val="1"/>
                <c:pt idx="0">
                  <c:v>HR</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Report!$A$21:$A$26</c:f>
              <c:strCache>
                <c:ptCount val="5"/>
                <c:pt idx="0">
                  <c:v>Bangalore</c:v>
                </c:pt>
                <c:pt idx="1">
                  <c:v>Chennai</c:v>
                </c:pt>
                <c:pt idx="2">
                  <c:v>Delhi</c:v>
                </c:pt>
                <c:pt idx="3">
                  <c:v>Hyderabad</c:v>
                </c:pt>
                <c:pt idx="4">
                  <c:v>Mumbai</c:v>
                </c:pt>
              </c:strCache>
            </c:strRef>
          </c:cat>
          <c:val>
            <c:numRef>
              <c:f>Report!$C$21:$C$26</c:f>
              <c:numCache>
                <c:formatCode>General</c:formatCode>
                <c:ptCount val="5"/>
                <c:pt idx="0">
                  <c:v>2</c:v>
                </c:pt>
                <c:pt idx="1">
                  <c:v>2</c:v>
                </c:pt>
                <c:pt idx="2">
                  <c:v>1</c:v>
                </c:pt>
                <c:pt idx="3">
                  <c:v>1</c:v>
                </c:pt>
                <c:pt idx="4">
                  <c:v>1</c:v>
                </c:pt>
              </c:numCache>
            </c:numRef>
          </c:val>
          <c:extLst>
            <c:ext xmlns:c16="http://schemas.microsoft.com/office/drawing/2014/chart" uri="{C3380CC4-5D6E-409C-BE32-E72D297353CC}">
              <c16:uniqueId val="{00000015-899A-4CBA-845C-D841C154A3CD}"/>
            </c:ext>
          </c:extLst>
        </c:ser>
        <c:ser>
          <c:idx val="1"/>
          <c:order val="2"/>
          <c:tx>
            <c:strRef>
              <c:f>Report!$D$19:$D$20</c:f>
              <c:strCache>
                <c:ptCount val="1"/>
                <c:pt idx="0">
                  <c:v>IT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Report!$A$21:$A$26</c:f>
              <c:strCache>
                <c:ptCount val="5"/>
                <c:pt idx="0">
                  <c:v>Bangalore</c:v>
                </c:pt>
                <c:pt idx="1">
                  <c:v>Chennai</c:v>
                </c:pt>
                <c:pt idx="2">
                  <c:v>Delhi</c:v>
                </c:pt>
                <c:pt idx="3">
                  <c:v>Hyderabad</c:v>
                </c:pt>
                <c:pt idx="4">
                  <c:v>Mumbai</c:v>
                </c:pt>
              </c:strCache>
            </c:strRef>
          </c:cat>
          <c:val>
            <c:numRef>
              <c:f>Report!$D$21:$D$26</c:f>
              <c:numCache>
                <c:formatCode>General</c:formatCode>
                <c:ptCount val="5"/>
                <c:pt idx="0">
                  <c:v>2</c:v>
                </c:pt>
                <c:pt idx="1">
                  <c:v>1</c:v>
                </c:pt>
                <c:pt idx="2">
                  <c:v>1</c:v>
                </c:pt>
                <c:pt idx="3">
                  <c:v>5</c:v>
                </c:pt>
                <c:pt idx="4">
                  <c:v>1</c:v>
                </c:pt>
              </c:numCache>
            </c:numRef>
          </c:val>
          <c:extLst>
            <c:ext xmlns:c16="http://schemas.microsoft.com/office/drawing/2014/chart" uri="{C3380CC4-5D6E-409C-BE32-E72D297353CC}">
              <c16:uniqueId val="{00000016-899A-4CBA-845C-D841C154A3CD}"/>
            </c:ext>
          </c:extLst>
        </c:ser>
        <c:ser>
          <c:idx val="2"/>
          <c:order val="3"/>
          <c:tx>
            <c:strRef>
              <c:f>Report!$E$19:$E$20</c:f>
              <c:strCache>
                <c:ptCount val="1"/>
                <c:pt idx="0">
                  <c:v>Marketing</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Report!$A$21:$A$26</c:f>
              <c:strCache>
                <c:ptCount val="5"/>
                <c:pt idx="0">
                  <c:v>Bangalore</c:v>
                </c:pt>
                <c:pt idx="1">
                  <c:v>Chennai</c:v>
                </c:pt>
                <c:pt idx="2">
                  <c:v>Delhi</c:v>
                </c:pt>
                <c:pt idx="3">
                  <c:v>Hyderabad</c:v>
                </c:pt>
                <c:pt idx="4">
                  <c:v>Mumbai</c:v>
                </c:pt>
              </c:strCache>
            </c:strRef>
          </c:cat>
          <c:val>
            <c:numRef>
              <c:f>Report!$E$21:$E$26</c:f>
              <c:numCache>
                <c:formatCode>General</c:formatCode>
                <c:ptCount val="5"/>
                <c:pt idx="0">
                  <c:v>6</c:v>
                </c:pt>
                <c:pt idx="2">
                  <c:v>4</c:v>
                </c:pt>
                <c:pt idx="3">
                  <c:v>2</c:v>
                </c:pt>
                <c:pt idx="4">
                  <c:v>1</c:v>
                </c:pt>
              </c:numCache>
            </c:numRef>
          </c:val>
          <c:extLst>
            <c:ext xmlns:c16="http://schemas.microsoft.com/office/drawing/2014/chart" uri="{C3380CC4-5D6E-409C-BE32-E72D297353CC}">
              <c16:uniqueId val="{00000017-899A-4CBA-845C-D841C154A3CD}"/>
            </c:ext>
          </c:extLst>
        </c:ser>
        <c:ser>
          <c:idx val="3"/>
          <c:order val="4"/>
          <c:tx>
            <c:strRef>
              <c:f>Report!$F$19:$F$20</c:f>
              <c:strCache>
                <c:ptCount val="1"/>
                <c:pt idx="0">
                  <c:v>Operations</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Report!$A$21:$A$26</c:f>
              <c:strCache>
                <c:ptCount val="5"/>
                <c:pt idx="0">
                  <c:v>Bangalore</c:v>
                </c:pt>
                <c:pt idx="1">
                  <c:v>Chennai</c:v>
                </c:pt>
                <c:pt idx="2">
                  <c:v>Delhi</c:v>
                </c:pt>
                <c:pt idx="3">
                  <c:v>Hyderabad</c:v>
                </c:pt>
                <c:pt idx="4">
                  <c:v>Mumbai</c:v>
                </c:pt>
              </c:strCache>
            </c:strRef>
          </c:cat>
          <c:val>
            <c:numRef>
              <c:f>Report!$F$21:$F$26</c:f>
              <c:numCache>
                <c:formatCode>General</c:formatCode>
                <c:ptCount val="5"/>
                <c:pt idx="0">
                  <c:v>1</c:v>
                </c:pt>
                <c:pt idx="1">
                  <c:v>2</c:v>
                </c:pt>
                <c:pt idx="2">
                  <c:v>4</c:v>
                </c:pt>
                <c:pt idx="3">
                  <c:v>1</c:v>
                </c:pt>
                <c:pt idx="4">
                  <c:v>2</c:v>
                </c:pt>
              </c:numCache>
            </c:numRef>
          </c:val>
          <c:extLst>
            <c:ext xmlns:c16="http://schemas.microsoft.com/office/drawing/2014/chart" uri="{C3380CC4-5D6E-409C-BE32-E72D297353CC}">
              <c16:uniqueId val="{00000018-899A-4CBA-845C-D841C154A3CD}"/>
            </c:ext>
          </c:extLst>
        </c:ser>
        <c:dLbls>
          <c:dLblPos val="inEnd"/>
          <c:showLegendKey val="0"/>
          <c:showVal val="1"/>
          <c:showCatName val="0"/>
          <c:showSerName val="0"/>
          <c:showPercent val="0"/>
          <c:showBubbleSize val="0"/>
        </c:dLbls>
        <c:gapWidth val="65"/>
        <c:axId val="626835520"/>
        <c:axId val="626843080"/>
      </c:barChart>
      <c:catAx>
        <c:axId val="6268355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chemeClr val="dk1">
                    <a:lumMod val="75000"/>
                    <a:lumOff val="25000"/>
                  </a:schemeClr>
                </a:solidFill>
                <a:latin typeface="+mn-lt"/>
                <a:ea typeface="+mn-ea"/>
                <a:cs typeface="+mn-cs"/>
              </a:defRPr>
            </a:pPr>
            <a:endParaRPr lang="en-US"/>
          </a:p>
        </c:txPr>
        <c:crossAx val="626843080"/>
        <c:crosses val="autoZero"/>
        <c:auto val="1"/>
        <c:lblAlgn val="ctr"/>
        <c:lblOffset val="100"/>
        <c:noMultiLvlLbl val="0"/>
      </c:catAx>
      <c:valAx>
        <c:axId val="6268430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26835520"/>
        <c:crosses val="autoZero"/>
        <c:crossBetween val="between"/>
      </c:valAx>
      <c:spPr>
        <a:noFill/>
        <a:ln>
          <a:noFill/>
        </a:ln>
        <a:effectLst/>
      </c:spPr>
    </c:plotArea>
    <c:legend>
      <c:legendPos val="b"/>
      <c:layout>
        <c:manualLayout>
          <c:xMode val="edge"/>
          <c:yMode val="edge"/>
          <c:x val="7.538414957731919E-2"/>
          <c:y val="0.92539638802383395"/>
          <c:w val="0.86389203408887383"/>
          <c:h val="5.5035552493373954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DataSet (Recovered).xlsx]Report!Expe_Emp</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 by Exp.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Report!$J$3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Report!$I$4:$I$22</c:f>
              <c:strCach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strCache>
            </c:strRef>
          </c:cat>
          <c:val>
            <c:numRef>
              <c:f>Report!$J$4:$J$22</c:f>
              <c:numCache>
                <c:formatCode>General</c:formatCode>
                <c:ptCount val="19"/>
                <c:pt idx="0">
                  <c:v>3</c:v>
                </c:pt>
                <c:pt idx="1">
                  <c:v>2</c:v>
                </c:pt>
                <c:pt idx="2">
                  <c:v>3</c:v>
                </c:pt>
                <c:pt idx="3">
                  <c:v>4</c:v>
                </c:pt>
                <c:pt idx="4">
                  <c:v>1</c:v>
                </c:pt>
                <c:pt idx="5">
                  <c:v>1</c:v>
                </c:pt>
                <c:pt idx="6">
                  <c:v>2</c:v>
                </c:pt>
                <c:pt idx="7">
                  <c:v>6</c:v>
                </c:pt>
                <c:pt idx="8">
                  <c:v>2</c:v>
                </c:pt>
                <c:pt idx="9">
                  <c:v>3</c:v>
                </c:pt>
                <c:pt idx="10">
                  <c:v>1</c:v>
                </c:pt>
                <c:pt idx="11">
                  <c:v>3</c:v>
                </c:pt>
                <c:pt idx="12">
                  <c:v>3</c:v>
                </c:pt>
                <c:pt idx="13">
                  <c:v>3</c:v>
                </c:pt>
                <c:pt idx="14">
                  <c:v>5</c:v>
                </c:pt>
                <c:pt idx="15">
                  <c:v>2</c:v>
                </c:pt>
                <c:pt idx="16">
                  <c:v>2</c:v>
                </c:pt>
                <c:pt idx="17">
                  <c:v>3</c:v>
                </c:pt>
                <c:pt idx="18">
                  <c:v>1</c:v>
                </c:pt>
              </c:numCache>
            </c:numRef>
          </c:val>
          <c:smooth val="0"/>
          <c:extLst>
            <c:ext xmlns:c16="http://schemas.microsoft.com/office/drawing/2014/chart" uri="{C3380CC4-5D6E-409C-BE32-E72D297353CC}">
              <c16:uniqueId val="{00000000-9629-4D61-AD8C-3F857DD45F18}"/>
            </c:ext>
          </c:extLst>
        </c:ser>
        <c:dLbls>
          <c:dLblPos val="ctr"/>
          <c:showLegendKey val="0"/>
          <c:showVal val="1"/>
          <c:showCatName val="0"/>
          <c:showSerName val="0"/>
          <c:showPercent val="0"/>
          <c:showBubbleSize val="0"/>
        </c:dLbls>
        <c:marker val="1"/>
        <c:smooth val="0"/>
        <c:axId val="536791856"/>
        <c:axId val="536789696"/>
      </c:lineChart>
      <c:catAx>
        <c:axId val="5367918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dk1">
                    <a:lumMod val="75000"/>
                    <a:lumOff val="25000"/>
                  </a:schemeClr>
                </a:solidFill>
                <a:latin typeface="+mn-lt"/>
                <a:ea typeface="+mn-ea"/>
                <a:cs typeface="+mn-cs"/>
              </a:defRPr>
            </a:pPr>
            <a:endParaRPr lang="en-US"/>
          </a:p>
        </c:txPr>
        <c:crossAx val="536789696"/>
        <c:crosses val="autoZero"/>
        <c:auto val="1"/>
        <c:lblAlgn val="ctr"/>
        <c:lblOffset val="100"/>
        <c:noMultiLvlLbl val="0"/>
      </c:catAx>
      <c:valAx>
        <c:axId val="5367896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3679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DataSet (Recovered).xlsx]Report!Job_Role_Emp</c:name>
    <c:fmtId val="2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a:t>
            </a:r>
            <a:r>
              <a:rPr lang="en-US" baseline="0"/>
              <a:t> by Dep &amp; Job Role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Report!$M$3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Report!$L$4:$L$38</c:f>
              <c:multiLvlStrCache>
                <c:ptCount val="29"/>
                <c:lvl>
                  <c:pt idx="0">
                    <c:v>Accoutant</c:v>
                  </c:pt>
                  <c:pt idx="1">
                    <c:v>Assis. Manager</c:v>
                  </c:pt>
                  <c:pt idx="2">
                    <c:v>CFO</c:v>
                  </c:pt>
                  <c:pt idx="3">
                    <c:v>Manager</c:v>
                  </c:pt>
                  <c:pt idx="4">
                    <c:v>Sales Executive</c:v>
                  </c:pt>
                  <c:pt idx="5">
                    <c:v>Sr. Accountant</c:v>
                  </c:pt>
                  <c:pt idx="6">
                    <c:v>Hiring Manager</c:v>
                  </c:pt>
                  <c:pt idx="7">
                    <c:v>HR Executive</c:v>
                  </c:pt>
                  <c:pt idx="8">
                    <c:v>HR Manager</c:v>
                  </c:pt>
                  <c:pt idx="9">
                    <c:v>Onboard Executive</c:v>
                  </c:pt>
                  <c:pt idx="10">
                    <c:v>Assis. Manager</c:v>
                  </c:pt>
                  <c:pt idx="11">
                    <c:v>Backend Develper</c:v>
                  </c:pt>
                  <c:pt idx="12">
                    <c:v>Data Analyst</c:v>
                  </c:pt>
                  <c:pt idx="13">
                    <c:v>Manager</c:v>
                  </c:pt>
                  <c:pt idx="14">
                    <c:v>MIS Executive</c:v>
                  </c:pt>
                  <c:pt idx="15">
                    <c:v>Testing Executive</c:v>
                  </c:pt>
                  <c:pt idx="16">
                    <c:v>Web Developer</c:v>
                  </c:pt>
                  <c:pt idx="17">
                    <c:v>Assis. Manager</c:v>
                  </c:pt>
                  <c:pt idx="18">
                    <c:v>Manager</c:v>
                  </c:pt>
                  <c:pt idx="19">
                    <c:v>Marketing Executive</c:v>
                  </c:pt>
                  <c:pt idx="20">
                    <c:v>Research Director</c:v>
                  </c:pt>
                  <c:pt idx="21">
                    <c:v>Research Scientist</c:v>
                  </c:pt>
                  <c:pt idx="22">
                    <c:v>Sales Executive</c:v>
                  </c:pt>
                  <c:pt idx="23">
                    <c:v>Social Media Executive</c:v>
                  </c:pt>
                  <c:pt idx="24">
                    <c:v>Assis. Manager</c:v>
                  </c:pt>
                  <c:pt idx="25">
                    <c:v>Chat Support Executive</c:v>
                  </c:pt>
                  <c:pt idx="26">
                    <c:v>Customer Support Executive</c:v>
                  </c:pt>
                  <c:pt idx="27">
                    <c:v>Manager</c:v>
                  </c:pt>
                  <c:pt idx="28">
                    <c:v>TL</c:v>
                  </c:pt>
                </c:lvl>
                <c:lvl>
                  <c:pt idx="0">
                    <c:v>Finance</c:v>
                  </c:pt>
                  <c:pt idx="6">
                    <c:v>HR</c:v>
                  </c:pt>
                  <c:pt idx="10">
                    <c:v>IT</c:v>
                  </c:pt>
                  <c:pt idx="17">
                    <c:v>Marketing</c:v>
                  </c:pt>
                  <c:pt idx="24">
                    <c:v>Operations</c:v>
                  </c:pt>
                </c:lvl>
              </c:multiLvlStrCache>
            </c:multiLvlStrRef>
          </c:cat>
          <c:val>
            <c:numRef>
              <c:f>Report!$M$4:$M$38</c:f>
              <c:numCache>
                <c:formatCode>General</c:formatCode>
                <c:ptCount val="29"/>
                <c:pt idx="0">
                  <c:v>2</c:v>
                </c:pt>
                <c:pt idx="1">
                  <c:v>1</c:v>
                </c:pt>
                <c:pt idx="2">
                  <c:v>1</c:v>
                </c:pt>
                <c:pt idx="3">
                  <c:v>1</c:v>
                </c:pt>
                <c:pt idx="4">
                  <c:v>3</c:v>
                </c:pt>
                <c:pt idx="5">
                  <c:v>2</c:v>
                </c:pt>
                <c:pt idx="6">
                  <c:v>1</c:v>
                </c:pt>
                <c:pt idx="7">
                  <c:v>3</c:v>
                </c:pt>
                <c:pt idx="8">
                  <c:v>1</c:v>
                </c:pt>
                <c:pt idx="9">
                  <c:v>2</c:v>
                </c:pt>
                <c:pt idx="10">
                  <c:v>1</c:v>
                </c:pt>
                <c:pt idx="11">
                  <c:v>1</c:v>
                </c:pt>
                <c:pt idx="12">
                  <c:v>2</c:v>
                </c:pt>
                <c:pt idx="13">
                  <c:v>1</c:v>
                </c:pt>
                <c:pt idx="14">
                  <c:v>1</c:v>
                </c:pt>
                <c:pt idx="15">
                  <c:v>1</c:v>
                </c:pt>
                <c:pt idx="16">
                  <c:v>3</c:v>
                </c:pt>
                <c:pt idx="17">
                  <c:v>1</c:v>
                </c:pt>
                <c:pt idx="18">
                  <c:v>1</c:v>
                </c:pt>
                <c:pt idx="19">
                  <c:v>3</c:v>
                </c:pt>
                <c:pt idx="20">
                  <c:v>1</c:v>
                </c:pt>
                <c:pt idx="21">
                  <c:v>2</c:v>
                </c:pt>
                <c:pt idx="22">
                  <c:v>2</c:v>
                </c:pt>
                <c:pt idx="23">
                  <c:v>3</c:v>
                </c:pt>
                <c:pt idx="24">
                  <c:v>1</c:v>
                </c:pt>
                <c:pt idx="25">
                  <c:v>2</c:v>
                </c:pt>
                <c:pt idx="26">
                  <c:v>3</c:v>
                </c:pt>
                <c:pt idx="27">
                  <c:v>1</c:v>
                </c:pt>
                <c:pt idx="28">
                  <c:v>3</c:v>
                </c:pt>
              </c:numCache>
            </c:numRef>
          </c:val>
          <c:extLst>
            <c:ext xmlns:c16="http://schemas.microsoft.com/office/drawing/2014/chart" uri="{C3380CC4-5D6E-409C-BE32-E72D297353CC}">
              <c16:uniqueId val="{00000000-06E0-42D7-821B-6DBC4DC33688}"/>
            </c:ext>
          </c:extLst>
        </c:ser>
        <c:dLbls>
          <c:dLblPos val="ctr"/>
          <c:showLegendKey val="0"/>
          <c:showVal val="1"/>
          <c:showCatName val="0"/>
          <c:showSerName val="0"/>
          <c:showPercent val="0"/>
          <c:showBubbleSize val="0"/>
        </c:dLbls>
        <c:gapWidth val="150"/>
        <c:overlap val="100"/>
        <c:axId val="611118912"/>
        <c:axId val="611120352"/>
      </c:barChart>
      <c:catAx>
        <c:axId val="6111189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chemeClr val="dk1">
                    <a:lumMod val="75000"/>
                    <a:lumOff val="25000"/>
                  </a:schemeClr>
                </a:solidFill>
                <a:latin typeface="+mn-lt"/>
                <a:ea typeface="+mn-ea"/>
                <a:cs typeface="+mn-cs"/>
              </a:defRPr>
            </a:pPr>
            <a:endParaRPr lang="en-US"/>
          </a:p>
        </c:txPr>
        <c:crossAx val="611120352"/>
        <c:crosses val="autoZero"/>
        <c:auto val="1"/>
        <c:lblAlgn val="ctr"/>
        <c:lblOffset val="100"/>
        <c:noMultiLvlLbl val="0"/>
      </c:catAx>
      <c:valAx>
        <c:axId val="611120352"/>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1111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 DataSet (Recovered).xlsx]Report!PivotTable8</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
            </a:r>
            <a:r>
              <a:rPr lang="en-US" baseline="0"/>
              <a:t> Salary by Gender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6575677420761184"/>
          <c:y val="0.17834949920286239"/>
          <c:w val="0.67385823717637938"/>
          <c:h val="0.72126527986792544"/>
        </c:manualLayout>
      </c:layout>
      <c:doughnutChart>
        <c:varyColors val="1"/>
        <c:ser>
          <c:idx val="0"/>
          <c:order val="0"/>
          <c:tx>
            <c:strRef>
              <c:f>Report!$E$11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F07-4E72-BD4A-8F42CB57216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F07-4E72-BD4A-8F42CB57216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Report!$D$12:$D$14</c:f>
              <c:strCache>
                <c:ptCount val="2"/>
                <c:pt idx="0">
                  <c:v>Female</c:v>
                </c:pt>
                <c:pt idx="1">
                  <c:v>Male</c:v>
                </c:pt>
              </c:strCache>
            </c:strRef>
          </c:cat>
          <c:val>
            <c:numRef>
              <c:f>Report!$E$12:$E$14</c:f>
              <c:numCache>
                <c:formatCode>General</c:formatCode>
                <c:ptCount val="2"/>
                <c:pt idx="0">
                  <c:v>2357267</c:v>
                </c:pt>
                <c:pt idx="1">
                  <c:v>1757173</c:v>
                </c:pt>
              </c:numCache>
            </c:numRef>
          </c:val>
          <c:extLst>
            <c:ext xmlns:c16="http://schemas.microsoft.com/office/drawing/2014/chart" uri="{C3380CC4-5D6E-409C-BE32-E72D297353CC}">
              <c16:uniqueId val="{00000004-EF07-4E72-BD4A-8F42CB572167}"/>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648483</xdr:colOff>
      <xdr:row>0</xdr:row>
      <xdr:rowOff>70884</xdr:rowOff>
    </xdr:from>
    <xdr:to>
      <xdr:col>8</xdr:col>
      <xdr:colOff>461210</xdr:colOff>
      <xdr:row>13</xdr:row>
      <xdr:rowOff>152105</xdr:rowOff>
    </xdr:to>
    <xdr:graphicFrame macro="">
      <xdr:nvGraphicFramePr>
        <xdr:cNvPr id="2" name="Chart 1">
          <a:extLst>
            <a:ext uri="{FF2B5EF4-FFF2-40B4-BE49-F238E27FC236}">
              <a16:creationId xmlns:a16="http://schemas.microsoft.com/office/drawing/2014/main" id="{AEC2ACEA-0941-4320-A27C-AFC147191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612267</xdr:colOff>
      <xdr:row>14</xdr:row>
      <xdr:rowOff>25013</xdr:rowOff>
    </xdr:from>
    <xdr:to>
      <xdr:col>8</xdr:col>
      <xdr:colOff>461210</xdr:colOff>
      <xdr:row>29</xdr:row>
      <xdr:rowOff>0</xdr:rowOff>
    </xdr:to>
    <xdr:graphicFrame macro="">
      <xdr:nvGraphicFramePr>
        <xdr:cNvPr id="3" name="Chart 2">
          <a:extLst>
            <a:ext uri="{FF2B5EF4-FFF2-40B4-BE49-F238E27FC236}">
              <a16:creationId xmlns:a16="http://schemas.microsoft.com/office/drawing/2014/main" id="{4A9AB048-747A-45B1-A5C0-D825B7AD4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531629</xdr:colOff>
      <xdr:row>8</xdr:row>
      <xdr:rowOff>15379</xdr:rowOff>
    </xdr:from>
    <xdr:to>
      <xdr:col>17</xdr:col>
      <xdr:colOff>496187</xdr:colOff>
      <xdr:row>29</xdr:row>
      <xdr:rowOff>17721</xdr:rowOff>
    </xdr:to>
    <xdr:graphicFrame macro="">
      <xdr:nvGraphicFramePr>
        <xdr:cNvPr id="5" name="Chart 4">
          <a:extLst>
            <a:ext uri="{FF2B5EF4-FFF2-40B4-BE49-F238E27FC236}">
              <a16:creationId xmlns:a16="http://schemas.microsoft.com/office/drawing/2014/main" id="{348FA353-AECF-427A-99A4-94638C2DF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543715</xdr:colOff>
      <xdr:row>29</xdr:row>
      <xdr:rowOff>88604</xdr:rowOff>
    </xdr:from>
    <xdr:to>
      <xdr:col>17</xdr:col>
      <xdr:colOff>522935</xdr:colOff>
      <xdr:row>43</xdr:row>
      <xdr:rowOff>17720</xdr:rowOff>
    </xdr:to>
    <xdr:graphicFrame macro="">
      <xdr:nvGraphicFramePr>
        <xdr:cNvPr id="6" name="Chart 5">
          <a:extLst>
            <a:ext uri="{FF2B5EF4-FFF2-40B4-BE49-F238E27FC236}">
              <a16:creationId xmlns:a16="http://schemas.microsoft.com/office/drawing/2014/main" id="{0E1F2F55-4FAC-45C8-8EDA-7DDFA7C56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603277</xdr:colOff>
      <xdr:row>0</xdr:row>
      <xdr:rowOff>32098</xdr:rowOff>
    </xdr:from>
    <xdr:to>
      <xdr:col>24</xdr:col>
      <xdr:colOff>500674</xdr:colOff>
      <xdr:row>43</xdr:row>
      <xdr:rowOff>17721</xdr:rowOff>
    </xdr:to>
    <xdr:graphicFrame macro="">
      <xdr:nvGraphicFramePr>
        <xdr:cNvPr id="9" name="Chart 8">
          <a:extLst>
            <a:ext uri="{FF2B5EF4-FFF2-40B4-BE49-F238E27FC236}">
              <a16:creationId xmlns:a16="http://schemas.microsoft.com/office/drawing/2014/main" id="{550C0AA9-14AD-4D0F-AC4D-36611DA62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594086</xdr:colOff>
      <xdr:row>29</xdr:row>
      <xdr:rowOff>110289</xdr:rowOff>
    </xdr:from>
    <xdr:to>
      <xdr:col>8</xdr:col>
      <xdr:colOff>425302</xdr:colOff>
      <xdr:row>43</xdr:row>
      <xdr:rowOff>40105</xdr:rowOff>
    </xdr:to>
    <xdr:graphicFrame macro="">
      <xdr:nvGraphicFramePr>
        <xdr:cNvPr id="10" name="Chart 9">
          <a:extLst>
            <a:ext uri="{FF2B5EF4-FFF2-40B4-BE49-F238E27FC236}">
              <a16:creationId xmlns:a16="http://schemas.microsoft.com/office/drawing/2014/main" id="{F4244A36-7B77-4391-A0E1-A2C32DC32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541421</xdr:colOff>
      <xdr:row>3</xdr:row>
      <xdr:rowOff>106326</xdr:rowOff>
    </xdr:from>
    <xdr:to>
      <xdr:col>13</xdr:col>
      <xdr:colOff>141767</xdr:colOff>
      <xdr:row>7</xdr:row>
      <xdr:rowOff>106326</xdr:rowOff>
    </xdr:to>
    <xdr:sp macro="" textlink="Report!B10">
      <xdr:nvSpPr>
        <xdr:cNvPr id="11" name="Rectangle 10">
          <a:extLst>
            <a:ext uri="{FF2B5EF4-FFF2-40B4-BE49-F238E27FC236}">
              <a16:creationId xmlns:a16="http://schemas.microsoft.com/office/drawing/2014/main" id="{A1A0B27B-859C-9952-6001-6A249F0BC7E2}"/>
            </a:ext>
          </a:extLst>
        </xdr:cNvPr>
        <xdr:cNvSpPr/>
      </xdr:nvSpPr>
      <xdr:spPr>
        <a:xfrm>
          <a:off x="5915526" y="707905"/>
          <a:ext cx="2959162" cy="80210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313902D-F819-4858-9FE2-E5757318393E}" type="TxLink">
            <a:rPr lang="en-US" sz="2000" b="1" i="0" u="none" strike="noStrike">
              <a:solidFill>
                <a:schemeClr val="bg1"/>
              </a:solidFill>
              <a:latin typeface="Calibri"/>
              <a:ea typeface="Calibri"/>
              <a:cs typeface="Calibri"/>
            </a:rPr>
            <a:pPr algn="ctr"/>
            <a:t>Total Salary
4114.4k</a:t>
          </a:fld>
          <a:endParaRPr lang="en-IN" sz="1800" b="1">
            <a:solidFill>
              <a:schemeClr val="bg1"/>
            </a:solidFill>
          </a:endParaRPr>
        </a:p>
      </xdr:txBody>
    </xdr:sp>
    <xdr:clientData/>
  </xdr:twoCellAnchor>
  <xdr:twoCellAnchor>
    <xdr:from>
      <xdr:col>13</xdr:col>
      <xdr:colOff>265813</xdr:colOff>
      <xdr:row>3</xdr:row>
      <xdr:rowOff>106325</xdr:rowOff>
    </xdr:from>
    <xdr:to>
      <xdr:col>17</xdr:col>
      <xdr:colOff>496185</xdr:colOff>
      <xdr:row>7</xdr:row>
      <xdr:rowOff>106325</xdr:rowOff>
    </xdr:to>
    <xdr:sp macro="" textlink="Report!J24">
      <xdr:nvSpPr>
        <xdr:cNvPr id="12" name="Rectangle 11">
          <a:extLst>
            <a:ext uri="{FF2B5EF4-FFF2-40B4-BE49-F238E27FC236}">
              <a16:creationId xmlns:a16="http://schemas.microsoft.com/office/drawing/2014/main" id="{1996F86E-D106-4B0F-87F9-476A2E63B3A7}"/>
            </a:ext>
          </a:extLst>
        </xdr:cNvPr>
        <xdr:cNvSpPr/>
      </xdr:nvSpPr>
      <xdr:spPr>
        <a:xfrm>
          <a:off x="9019953" y="691116"/>
          <a:ext cx="2923953" cy="77972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6C736A8-430B-439E-B79B-17D6B2EC2C20}" type="TxLink">
            <a:rPr lang="en-US" sz="2000" b="1" i="0" u="none" strike="noStrike">
              <a:solidFill>
                <a:schemeClr val="bg1"/>
              </a:solidFill>
              <a:latin typeface="Calibri"/>
              <a:ea typeface="Calibri"/>
              <a:cs typeface="Calibri"/>
            </a:rPr>
            <a:pPr algn="ctr"/>
            <a:t>Total Emp
50</a:t>
          </a:fld>
          <a:endParaRPr lang="en-IN" sz="1800" b="1">
            <a:solidFill>
              <a:schemeClr val="bg1"/>
            </a:solidFill>
          </a:endParaRPr>
        </a:p>
      </xdr:txBody>
    </xdr:sp>
    <xdr:clientData/>
  </xdr:twoCellAnchor>
  <xdr:twoCellAnchor>
    <xdr:from>
      <xdr:col>8</xdr:col>
      <xdr:colOff>541421</xdr:colOff>
      <xdr:row>0</xdr:row>
      <xdr:rowOff>81181</xdr:rowOff>
    </xdr:from>
    <xdr:to>
      <xdr:col>17</xdr:col>
      <xdr:colOff>506312</xdr:colOff>
      <xdr:row>3</xdr:row>
      <xdr:rowOff>37877</xdr:rowOff>
    </xdr:to>
    <xdr:sp macro="" textlink="">
      <xdr:nvSpPr>
        <xdr:cNvPr id="13" name="Rectangle 12">
          <a:extLst>
            <a:ext uri="{FF2B5EF4-FFF2-40B4-BE49-F238E27FC236}">
              <a16:creationId xmlns:a16="http://schemas.microsoft.com/office/drawing/2014/main" id="{FB59BFD1-7842-F52D-5432-9A91482A6299}"/>
            </a:ext>
          </a:extLst>
        </xdr:cNvPr>
        <xdr:cNvSpPr/>
      </xdr:nvSpPr>
      <xdr:spPr>
        <a:xfrm>
          <a:off x="5960088" y="81181"/>
          <a:ext cx="6060891" cy="549363"/>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400" b="1"/>
            <a:t>Salary</a:t>
          </a:r>
          <a:r>
            <a:rPr lang="en-IN" sz="1100"/>
            <a:t> </a:t>
          </a:r>
          <a:r>
            <a:rPr lang="en-IN" sz="2400" b="1"/>
            <a:t>Analytics-</a:t>
          </a:r>
          <a:r>
            <a:rPr lang="en-IN" sz="2400" b="1" baseline="0"/>
            <a:t> Dashboard</a:t>
          </a:r>
          <a:endParaRPr lang="en-IN" sz="1100" b="1"/>
        </a:p>
      </xdr:txBody>
    </xdr:sp>
    <xdr:clientData/>
  </xdr:twoCellAnchor>
  <xdr:twoCellAnchor editAs="oneCell">
    <xdr:from>
      <xdr:col>1</xdr:col>
      <xdr:colOff>122485</xdr:colOff>
      <xdr:row>0</xdr:row>
      <xdr:rowOff>90312</xdr:rowOff>
    </xdr:from>
    <xdr:to>
      <xdr:col>4</xdr:col>
      <xdr:colOff>3180</xdr:colOff>
      <xdr:row>44</xdr:row>
      <xdr:rowOff>1868</xdr:rowOff>
    </xdr:to>
    <mc:AlternateContent xmlns:mc="http://schemas.openxmlformats.org/markup-compatibility/2006" xmlns:a14="http://schemas.microsoft.com/office/drawing/2010/main">
      <mc:Choice Requires="a14">
        <xdr:graphicFrame macro="">
          <xdr:nvGraphicFramePr>
            <xdr:cNvPr id="14" name="JobRole">
              <a:extLst>
                <a:ext uri="{FF2B5EF4-FFF2-40B4-BE49-F238E27FC236}">
                  <a16:creationId xmlns:a16="http://schemas.microsoft.com/office/drawing/2014/main" id="{6A9A3FE7-8B22-D698-414E-FD927E647740}"/>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794248" y="90312"/>
              <a:ext cx="1895985" cy="8734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Yadav" refreshedDate="46063.915062615742" createdVersion="8" refreshedVersion="8" minRefreshableVersion="3" recordCount="50" xr:uid="{34EB181A-4535-41CF-A44E-7ED195CEEBAE}">
  <cacheSource type="worksheet">
    <worksheetSource ref="A1:J51" sheet="Rawdata"/>
  </cacheSource>
  <cacheFields count="10">
    <cacheField name="EmployeeID" numFmtId="0">
      <sharedItems containsSemiMixedTypes="0" containsString="0" containsNumber="1" containsInteger="1" minValue="1" maxValue="50"/>
    </cacheField>
    <cacheField name="Name" numFmtId="0">
      <sharedItems count="50">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haredItems>
    </cacheField>
    <cacheField name="Department" numFmtId="0">
      <sharedItems count="5">
        <s v="Marketing"/>
        <s v="Operations"/>
        <s v="IT"/>
        <s v="Finance"/>
        <s v="HR"/>
      </sharedItems>
    </cacheField>
    <cacheField name="Experience_Years" numFmtId="0">
      <sharedItems containsSemiMixedTypes="0" containsString="0" containsNumber="1" containsInteger="1" minValue="1" maxValue="19" count="19">
        <n v="15"/>
        <n v="7"/>
        <n v="12"/>
        <n v="8"/>
        <n v="3"/>
        <n v="14"/>
        <n v="17"/>
        <n v="4"/>
        <n v="18"/>
        <n v="2"/>
        <n v="6"/>
        <n v="10"/>
        <n v="16"/>
        <n v="13"/>
        <n v="9"/>
        <n v="1"/>
        <n v="11"/>
        <n v="19"/>
        <n v="5"/>
      </sharedItems>
    </cacheField>
    <cacheField name="Education_Level" numFmtId="0">
      <sharedItems/>
    </cacheField>
    <cacheField name="Age" numFmtId="0">
      <sharedItems containsSemiMixedTypes="0" containsString="0" containsNumber="1" containsInteger="1" minValue="22" maxValue="57"/>
    </cacheField>
    <cacheField name="Gender" numFmtId="0">
      <sharedItems count="2">
        <s v="Female"/>
        <s v="Male"/>
      </sharedItems>
    </cacheField>
    <cacheField name="City" numFmtId="0">
      <sharedItems count="5">
        <s v="Delhi"/>
        <s v="Bangalore"/>
        <s v="Hyderabad"/>
        <s v="Mumbai"/>
        <s v="Chennai"/>
      </sharedItems>
    </cacheField>
    <cacheField name="Monthly_Salary" numFmtId="0">
      <sharedItems containsSemiMixedTypes="0" containsString="0" containsNumber="1" containsInteger="1" minValue="28420" maxValue="149123"/>
    </cacheField>
    <cacheField name="JobRole" numFmtId="0">
      <sharedItems count="22">
        <s v="Sales Executive"/>
        <s v="Customer Support Executive"/>
        <s v="Data Analyst"/>
        <s v="Chat Support Executive"/>
        <s v="Accoutant"/>
        <s v="Web Developer"/>
        <s v="Manager"/>
        <s v="Assis. Manager"/>
        <s v="Marketing Executive"/>
        <s v="Backend Develper"/>
        <s v="TL"/>
        <s v="Social Media Executive"/>
        <s v="Research Scientist"/>
        <s v="HR Manager"/>
        <s v="Research Director"/>
        <s v="HR Executive"/>
        <s v="Testing Executive"/>
        <s v="MIS Executive"/>
        <s v="Onboard Executive"/>
        <s v="Sr. Accountant"/>
        <s v="Hiring Manager"/>
        <s v="CFO"/>
      </sharedItems>
    </cacheField>
  </cacheFields>
  <extLst>
    <ext xmlns:x14="http://schemas.microsoft.com/office/spreadsheetml/2009/9/main" uri="{725AE2AE-9491-48be-B2B4-4EB974FC3084}">
      <x14:pivotCacheDefinition pivotCacheId="10999088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x v="0"/>
    <x v="0"/>
    <x v="0"/>
    <s v="Master"/>
    <n v="53"/>
    <x v="0"/>
    <x v="0"/>
    <n v="111416"/>
    <x v="0"/>
  </r>
  <r>
    <n v="2"/>
    <x v="1"/>
    <x v="1"/>
    <x v="1"/>
    <s v="Bachelor"/>
    <n v="25"/>
    <x v="0"/>
    <x v="1"/>
    <n v="95271"/>
    <x v="1"/>
  </r>
  <r>
    <n v="3"/>
    <x v="2"/>
    <x v="2"/>
    <x v="2"/>
    <s v="High School"/>
    <n v="51"/>
    <x v="0"/>
    <x v="2"/>
    <n v="69064"/>
    <x v="2"/>
  </r>
  <r>
    <n v="4"/>
    <x v="3"/>
    <x v="1"/>
    <x v="3"/>
    <s v="PhD"/>
    <n v="44"/>
    <x v="1"/>
    <x v="0"/>
    <n v="95091"/>
    <x v="1"/>
  </r>
  <r>
    <n v="5"/>
    <x v="4"/>
    <x v="1"/>
    <x v="0"/>
    <s v="Master"/>
    <n v="36"/>
    <x v="0"/>
    <x v="0"/>
    <n v="132450"/>
    <x v="3"/>
  </r>
  <r>
    <n v="6"/>
    <x v="5"/>
    <x v="3"/>
    <x v="4"/>
    <s v="High School"/>
    <n v="50"/>
    <x v="1"/>
    <x v="3"/>
    <n v="65818"/>
    <x v="4"/>
  </r>
  <r>
    <n v="7"/>
    <x v="6"/>
    <x v="2"/>
    <x v="5"/>
    <s v="PhD"/>
    <n v="57"/>
    <x v="1"/>
    <x v="3"/>
    <n v="70525"/>
    <x v="5"/>
  </r>
  <r>
    <n v="8"/>
    <x v="7"/>
    <x v="2"/>
    <x v="6"/>
    <s v="PhD"/>
    <n v="34"/>
    <x v="0"/>
    <x v="1"/>
    <n v="44830"/>
    <x v="6"/>
  </r>
  <r>
    <n v="9"/>
    <x v="8"/>
    <x v="2"/>
    <x v="7"/>
    <s v="Bachelor"/>
    <n v="53"/>
    <x v="1"/>
    <x v="2"/>
    <n v="42429"/>
    <x v="7"/>
  </r>
  <r>
    <n v="10"/>
    <x v="9"/>
    <x v="1"/>
    <x v="8"/>
    <s v="High School"/>
    <n v="28"/>
    <x v="1"/>
    <x v="3"/>
    <n v="31893"/>
    <x v="6"/>
  </r>
  <r>
    <n v="11"/>
    <x v="10"/>
    <x v="0"/>
    <x v="3"/>
    <s v="PhD"/>
    <n v="43"/>
    <x v="1"/>
    <x v="0"/>
    <n v="141381"/>
    <x v="8"/>
  </r>
  <r>
    <n v="12"/>
    <x v="11"/>
    <x v="2"/>
    <x v="7"/>
    <s v="Master"/>
    <n v="49"/>
    <x v="0"/>
    <x v="2"/>
    <n v="104909"/>
    <x v="9"/>
  </r>
  <r>
    <n v="13"/>
    <x v="12"/>
    <x v="1"/>
    <x v="9"/>
    <s v="Master"/>
    <n v="23"/>
    <x v="0"/>
    <x v="2"/>
    <n v="72333"/>
    <x v="10"/>
  </r>
  <r>
    <n v="14"/>
    <x v="13"/>
    <x v="3"/>
    <x v="10"/>
    <s v="Bachelor"/>
    <n v="27"/>
    <x v="1"/>
    <x v="0"/>
    <n v="28436"/>
    <x v="4"/>
  </r>
  <r>
    <n v="15"/>
    <x v="14"/>
    <x v="0"/>
    <x v="11"/>
    <s v="PhD"/>
    <n v="49"/>
    <x v="0"/>
    <x v="3"/>
    <n v="99290"/>
    <x v="11"/>
  </r>
  <r>
    <n v="16"/>
    <x v="15"/>
    <x v="3"/>
    <x v="7"/>
    <s v="High School"/>
    <n v="49"/>
    <x v="0"/>
    <x v="0"/>
    <n v="101213"/>
    <x v="7"/>
  </r>
  <r>
    <n v="17"/>
    <x v="16"/>
    <x v="0"/>
    <x v="8"/>
    <s v="Master"/>
    <n v="41"/>
    <x v="0"/>
    <x v="2"/>
    <n v="30895"/>
    <x v="12"/>
  </r>
  <r>
    <n v="18"/>
    <x v="17"/>
    <x v="1"/>
    <x v="2"/>
    <s v="PhD"/>
    <n v="51"/>
    <x v="0"/>
    <x v="4"/>
    <n v="44738"/>
    <x v="10"/>
  </r>
  <r>
    <n v="19"/>
    <x v="18"/>
    <x v="4"/>
    <x v="9"/>
    <s v="PhD"/>
    <n v="32"/>
    <x v="1"/>
    <x v="4"/>
    <n v="55746"/>
    <x v="13"/>
  </r>
  <r>
    <n v="20"/>
    <x v="19"/>
    <x v="0"/>
    <x v="11"/>
    <s v="Bachelor"/>
    <n v="49"/>
    <x v="1"/>
    <x v="1"/>
    <n v="74377"/>
    <x v="12"/>
  </r>
  <r>
    <n v="21"/>
    <x v="20"/>
    <x v="3"/>
    <x v="7"/>
    <s v="Master"/>
    <n v="46"/>
    <x v="0"/>
    <x v="0"/>
    <n v="73404"/>
    <x v="6"/>
  </r>
  <r>
    <n v="22"/>
    <x v="21"/>
    <x v="1"/>
    <x v="5"/>
    <s v="Master"/>
    <n v="54"/>
    <x v="0"/>
    <x v="0"/>
    <n v="79045"/>
    <x v="7"/>
  </r>
  <r>
    <n v="23"/>
    <x v="22"/>
    <x v="0"/>
    <x v="12"/>
    <s v="High School"/>
    <n v="22"/>
    <x v="1"/>
    <x v="1"/>
    <n v="122888"/>
    <x v="14"/>
  </r>
  <r>
    <n v="24"/>
    <x v="23"/>
    <x v="4"/>
    <x v="0"/>
    <s v="Master"/>
    <n v="48"/>
    <x v="1"/>
    <x v="1"/>
    <n v="64790"/>
    <x v="15"/>
  </r>
  <r>
    <n v="25"/>
    <x v="24"/>
    <x v="4"/>
    <x v="3"/>
    <s v="High School"/>
    <n v="34"/>
    <x v="0"/>
    <x v="1"/>
    <n v="132455"/>
    <x v="15"/>
  </r>
  <r>
    <n v="26"/>
    <x v="25"/>
    <x v="2"/>
    <x v="5"/>
    <s v="Master"/>
    <n v="24"/>
    <x v="1"/>
    <x v="2"/>
    <n v="30600"/>
    <x v="16"/>
  </r>
  <r>
    <n v="27"/>
    <x v="26"/>
    <x v="2"/>
    <x v="3"/>
    <s v="Bachelor"/>
    <n v="27"/>
    <x v="0"/>
    <x v="0"/>
    <n v="119660"/>
    <x v="2"/>
  </r>
  <r>
    <n v="28"/>
    <x v="27"/>
    <x v="3"/>
    <x v="12"/>
    <s v="Master"/>
    <n v="29"/>
    <x v="0"/>
    <x v="2"/>
    <n v="118179"/>
    <x v="0"/>
  </r>
  <r>
    <n v="29"/>
    <x v="28"/>
    <x v="0"/>
    <x v="13"/>
    <s v="High School"/>
    <n v="48"/>
    <x v="1"/>
    <x v="1"/>
    <n v="65764"/>
    <x v="0"/>
  </r>
  <r>
    <n v="30"/>
    <x v="29"/>
    <x v="0"/>
    <x v="8"/>
    <s v="High School"/>
    <n v="30"/>
    <x v="1"/>
    <x v="0"/>
    <n v="99543"/>
    <x v="6"/>
  </r>
  <r>
    <n v="31"/>
    <x v="30"/>
    <x v="2"/>
    <x v="0"/>
    <s v="Bachelor"/>
    <n v="54"/>
    <x v="0"/>
    <x v="2"/>
    <n v="70714"/>
    <x v="17"/>
  </r>
  <r>
    <n v="32"/>
    <x v="31"/>
    <x v="0"/>
    <x v="13"/>
    <s v="Master"/>
    <n v="45"/>
    <x v="0"/>
    <x v="2"/>
    <n v="81835"/>
    <x v="8"/>
  </r>
  <r>
    <n v="33"/>
    <x v="32"/>
    <x v="0"/>
    <x v="14"/>
    <s v="Master"/>
    <n v="36"/>
    <x v="1"/>
    <x v="1"/>
    <n v="127946"/>
    <x v="11"/>
  </r>
  <r>
    <n v="34"/>
    <x v="33"/>
    <x v="4"/>
    <x v="0"/>
    <s v="Bachelor"/>
    <n v="53"/>
    <x v="0"/>
    <x v="0"/>
    <n v="134616"/>
    <x v="15"/>
  </r>
  <r>
    <n v="35"/>
    <x v="34"/>
    <x v="2"/>
    <x v="13"/>
    <s v="Master"/>
    <n v="53"/>
    <x v="1"/>
    <x v="1"/>
    <n v="130983"/>
    <x v="5"/>
  </r>
  <r>
    <n v="36"/>
    <x v="35"/>
    <x v="1"/>
    <x v="15"/>
    <s v="Master"/>
    <n v="45"/>
    <x v="0"/>
    <x v="0"/>
    <n v="98744"/>
    <x v="10"/>
  </r>
  <r>
    <n v="37"/>
    <x v="36"/>
    <x v="2"/>
    <x v="1"/>
    <s v="High School"/>
    <n v="33"/>
    <x v="1"/>
    <x v="4"/>
    <n v="81491"/>
    <x v="5"/>
  </r>
  <r>
    <n v="38"/>
    <x v="37"/>
    <x v="1"/>
    <x v="14"/>
    <s v="Master"/>
    <n v="23"/>
    <x v="1"/>
    <x v="3"/>
    <n v="149123"/>
    <x v="3"/>
  </r>
  <r>
    <n v="39"/>
    <x v="38"/>
    <x v="4"/>
    <x v="15"/>
    <s v="Master"/>
    <n v="24"/>
    <x v="1"/>
    <x v="3"/>
    <n v="43589"/>
    <x v="18"/>
  </r>
  <r>
    <n v="40"/>
    <x v="39"/>
    <x v="3"/>
    <x v="2"/>
    <s v="Bachelor"/>
    <n v="38"/>
    <x v="0"/>
    <x v="3"/>
    <n v="68484"/>
    <x v="0"/>
  </r>
  <r>
    <n v="41"/>
    <x v="40"/>
    <x v="0"/>
    <x v="3"/>
    <s v="Bachelor"/>
    <n v="23"/>
    <x v="0"/>
    <x v="1"/>
    <n v="107989"/>
    <x v="8"/>
  </r>
  <r>
    <n v="42"/>
    <x v="41"/>
    <x v="4"/>
    <x v="16"/>
    <s v="PhD"/>
    <n v="23"/>
    <x v="1"/>
    <x v="4"/>
    <n v="61212"/>
    <x v="18"/>
  </r>
  <r>
    <n v="43"/>
    <x v="42"/>
    <x v="0"/>
    <x v="17"/>
    <s v="High School"/>
    <n v="49"/>
    <x v="0"/>
    <x v="0"/>
    <n v="68525"/>
    <x v="11"/>
  </r>
  <r>
    <n v="44"/>
    <x v="43"/>
    <x v="3"/>
    <x v="6"/>
    <s v="Master"/>
    <n v="44"/>
    <x v="1"/>
    <x v="2"/>
    <n v="72202"/>
    <x v="0"/>
  </r>
  <r>
    <n v="45"/>
    <x v="44"/>
    <x v="3"/>
    <x v="3"/>
    <s v="Master"/>
    <n v="53"/>
    <x v="1"/>
    <x v="0"/>
    <n v="57635"/>
    <x v="19"/>
  </r>
  <r>
    <n v="46"/>
    <x v="45"/>
    <x v="4"/>
    <x v="4"/>
    <s v="PhD"/>
    <n v="54"/>
    <x v="0"/>
    <x v="2"/>
    <n v="88208"/>
    <x v="20"/>
  </r>
  <r>
    <n v="47"/>
    <x v="46"/>
    <x v="3"/>
    <x v="4"/>
    <s v="Master"/>
    <n v="22"/>
    <x v="0"/>
    <x v="0"/>
    <n v="58828"/>
    <x v="19"/>
  </r>
  <r>
    <n v="48"/>
    <x v="47"/>
    <x v="1"/>
    <x v="15"/>
    <s v="High School"/>
    <n v="40"/>
    <x v="1"/>
    <x v="4"/>
    <n v="43711"/>
    <x v="1"/>
  </r>
  <r>
    <n v="49"/>
    <x v="48"/>
    <x v="3"/>
    <x v="18"/>
    <s v="PhD"/>
    <n v="23"/>
    <x v="0"/>
    <x v="2"/>
    <n v="28420"/>
    <x v="21"/>
  </r>
  <r>
    <n v="50"/>
    <x v="49"/>
    <x v="0"/>
    <x v="11"/>
    <s v="High School"/>
    <n v="47"/>
    <x v="0"/>
    <x v="1"/>
    <n v="121752"/>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F97F8F-034A-42F7-B078-E605BFFFE41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D11:E14" firstHeaderRow="1" firstDataRow="1" firstDataCol="1"/>
  <pivotFields count="10">
    <pivotField showAll="0"/>
    <pivotField showAll="0"/>
    <pivotField showAll="0">
      <items count="6">
        <item x="3"/>
        <item x="4"/>
        <item x="2"/>
        <item x="0"/>
        <item x="1"/>
        <item t="default"/>
      </items>
    </pivotField>
    <pivotField showAll="0"/>
    <pivotField showAll="0"/>
    <pivotField showAll="0"/>
    <pivotField axis="axisRow" showAll="0">
      <items count="3">
        <item x="0"/>
        <item x="1"/>
        <item t="default"/>
      </items>
    </pivotField>
    <pivotField showAll="0">
      <items count="6">
        <item x="1"/>
        <item x="4"/>
        <item x="0"/>
        <item x="2"/>
        <item x="3"/>
        <item t="default"/>
      </items>
    </pivotField>
    <pivotField dataField="1" showAll="0"/>
    <pivotField showAll="0">
      <items count="23">
        <item x="4"/>
        <item x="7"/>
        <item x="9"/>
        <item x="21"/>
        <item x="3"/>
        <item x="1"/>
        <item x="2"/>
        <item x="20"/>
        <item x="15"/>
        <item x="13"/>
        <item x="6"/>
        <item x="8"/>
        <item x="17"/>
        <item x="18"/>
        <item x="14"/>
        <item x="12"/>
        <item x="0"/>
        <item x="11"/>
        <item x="19"/>
        <item x="16"/>
        <item x="10"/>
        <item x="5"/>
        <item t="default"/>
      </items>
    </pivotField>
  </pivotFields>
  <rowFields count="1">
    <field x="6"/>
  </rowFields>
  <rowItems count="3">
    <i>
      <x/>
    </i>
    <i>
      <x v="1"/>
    </i>
    <i t="grand">
      <x/>
    </i>
  </rowItems>
  <colItems count="1">
    <i/>
  </colItems>
  <dataFields count="1">
    <dataField name="Sum of Monthly_Salary" fld="8" baseField="0" baseItem="0"/>
  </dataFields>
  <chartFormats count="9">
    <chartFormat chart="3"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6" count="1" selected="0">
            <x v="0"/>
          </reference>
        </references>
      </pivotArea>
    </chartFormat>
    <chartFormat chart="13" format="6">
      <pivotArea type="data" outline="0" fieldPosition="0">
        <references count="2">
          <reference field="4294967294" count="1" selected="0">
            <x v="0"/>
          </reference>
          <reference field="6"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6" count="1" selected="0">
            <x v="0"/>
          </reference>
        </references>
      </pivotArea>
    </chartFormat>
    <chartFormat chart="22"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42A647-CDE1-4040-8E08-B02DFC2DBFDA}" name="SalarybyDe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8" firstHeaderRow="1" firstDataRow="1" firstDataCol="1"/>
  <pivotFields count="10">
    <pivotField showAll="0"/>
    <pivotField showAll="0"/>
    <pivotField axis="axisRow" showAll="0">
      <items count="6">
        <item x="3"/>
        <item x="4"/>
        <item x="2"/>
        <item x="0"/>
        <item x="1"/>
        <item t="default"/>
      </items>
    </pivotField>
    <pivotField showAll="0"/>
    <pivotField showAll="0"/>
    <pivotField showAll="0"/>
    <pivotField showAll="0"/>
    <pivotField showAll="0"/>
    <pivotField dataField="1" showAll="0"/>
    <pivotField showAll="0">
      <items count="23">
        <item x="4"/>
        <item x="7"/>
        <item x="9"/>
        <item x="21"/>
        <item x="3"/>
        <item x="1"/>
        <item x="2"/>
        <item x="20"/>
        <item x="15"/>
        <item x="13"/>
        <item x="6"/>
        <item x="8"/>
        <item x="17"/>
        <item x="18"/>
        <item x="14"/>
        <item x="12"/>
        <item x="0"/>
        <item x="11"/>
        <item x="19"/>
        <item x="16"/>
        <item x="10"/>
        <item x="5"/>
        <item t="default"/>
      </items>
    </pivotField>
  </pivotFields>
  <rowFields count="1">
    <field x="2"/>
  </rowFields>
  <rowItems count="5">
    <i>
      <x/>
    </i>
    <i>
      <x v="1"/>
    </i>
    <i>
      <x v="2"/>
    </i>
    <i>
      <x v="3"/>
    </i>
    <i>
      <x v="4"/>
    </i>
  </rowItems>
  <colItems count="1">
    <i/>
  </colItems>
  <dataFields count="1">
    <dataField name="Sum of Monthly_Salary" fld="8" baseField="0" baseItem="0"/>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 chart="4" format="10">
      <pivotArea type="data" outline="0" fieldPosition="0">
        <references count="2">
          <reference field="4294967294" count="1" selected="0">
            <x v="0"/>
          </reference>
          <reference field="2" count="1" selected="0">
            <x v="2"/>
          </reference>
        </references>
      </pivotArea>
    </chartFormat>
    <chartFormat chart="4" format="11">
      <pivotArea type="data" outline="0" fieldPosition="0">
        <references count="2">
          <reference field="4294967294" count="1" selected="0">
            <x v="0"/>
          </reference>
          <reference field="2" count="1" selected="0">
            <x v="3"/>
          </reference>
        </references>
      </pivotArea>
    </chartFormat>
    <chartFormat chart="4"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9476E5-BD3B-40E1-8797-C23CCEFD751F}" name="Job_Role_Em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L3:M38" firstHeaderRow="1" firstDataRow="1" firstDataCol="1"/>
  <pivotFields count="10">
    <pivotField showAll="0"/>
    <pivotField dataField="1" showAll="0"/>
    <pivotField axis="axisRow" showAll="0">
      <items count="6">
        <item x="3"/>
        <item x="4"/>
        <item x="2"/>
        <item x="0"/>
        <item x="1"/>
        <item t="default"/>
      </items>
    </pivotField>
    <pivotField showAll="0"/>
    <pivotField showAll="0"/>
    <pivotField showAll="0"/>
    <pivotField showAll="0"/>
    <pivotField showAll="0"/>
    <pivotField showAll="0"/>
    <pivotField axis="axisRow" showAll="0">
      <items count="23">
        <item x="4"/>
        <item x="7"/>
        <item x="9"/>
        <item x="21"/>
        <item x="3"/>
        <item x="1"/>
        <item x="2"/>
        <item x="20"/>
        <item x="15"/>
        <item x="13"/>
        <item x="6"/>
        <item x="8"/>
        <item x="17"/>
        <item x="18"/>
        <item x="14"/>
        <item x="12"/>
        <item x="0"/>
        <item x="11"/>
        <item x="19"/>
        <item x="16"/>
        <item x="10"/>
        <item x="5"/>
        <item t="default"/>
      </items>
    </pivotField>
  </pivotFields>
  <rowFields count="2">
    <field x="2"/>
    <field x="9"/>
  </rowFields>
  <rowItems count="35">
    <i>
      <x/>
    </i>
    <i r="1">
      <x/>
    </i>
    <i r="1">
      <x v="1"/>
    </i>
    <i r="1">
      <x v="3"/>
    </i>
    <i r="1">
      <x v="10"/>
    </i>
    <i r="1">
      <x v="16"/>
    </i>
    <i r="1">
      <x v="18"/>
    </i>
    <i>
      <x v="1"/>
    </i>
    <i r="1">
      <x v="7"/>
    </i>
    <i r="1">
      <x v="8"/>
    </i>
    <i r="1">
      <x v="9"/>
    </i>
    <i r="1">
      <x v="13"/>
    </i>
    <i>
      <x v="2"/>
    </i>
    <i r="1">
      <x v="1"/>
    </i>
    <i r="1">
      <x v="2"/>
    </i>
    <i r="1">
      <x v="6"/>
    </i>
    <i r="1">
      <x v="10"/>
    </i>
    <i r="1">
      <x v="12"/>
    </i>
    <i r="1">
      <x v="19"/>
    </i>
    <i r="1">
      <x v="21"/>
    </i>
    <i>
      <x v="3"/>
    </i>
    <i r="1">
      <x v="1"/>
    </i>
    <i r="1">
      <x v="10"/>
    </i>
    <i r="1">
      <x v="11"/>
    </i>
    <i r="1">
      <x v="14"/>
    </i>
    <i r="1">
      <x v="15"/>
    </i>
    <i r="1">
      <x v="16"/>
    </i>
    <i r="1">
      <x v="17"/>
    </i>
    <i>
      <x v="4"/>
    </i>
    <i r="1">
      <x v="1"/>
    </i>
    <i r="1">
      <x v="4"/>
    </i>
    <i r="1">
      <x v="5"/>
    </i>
    <i r="1">
      <x v="10"/>
    </i>
    <i r="1">
      <x v="20"/>
    </i>
    <i t="grand">
      <x/>
    </i>
  </rowItems>
  <colItems count="1">
    <i/>
  </colItems>
  <dataFields count="1">
    <dataField name="Count of Name" fld="1" subtotal="count" baseField="0" baseItem="0"/>
  </dataFields>
  <chartFormats count="2">
    <chartFormat chart="2" format="0"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6DFC59-816E-4052-A2A8-D0AC191D1690}" name="City_Dep_Em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9:G26" firstHeaderRow="1" firstDataRow="2" firstDataCol="1"/>
  <pivotFields count="10">
    <pivotField showAll="0"/>
    <pivotField dataField="1" showAll="0">
      <items count="51">
        <item x="8"/>
        <item x="4"/>
        <item x="29"/>
        <item x="3"/>
        <item x="37"/>
        <item x="0"/>
        <item x="24"/>
        <item x="1"/>
        <item x="35"/>
        <item x="45"/>
        <item x="12"/>
        <item x="13"/>
        <item x="20"/>
        <item x="39"/>
        <item x="47"/>
        <item x="16"/>
        <item x="6"/>
        <item x="31"/>
        <item x="5"/>
        <item x="49"/>
        <item x="25"/>
        <item x="40"/>
        <item x="32"/>
        <item x="36"/>
        <item x="30"/>
        <item x="41"/>
        <item x="44"/>
        <item x="10"/>
        <item x="33"/>
        <item x="27"/>
        <item x="48"/>
        <item x="23"/>
        <item x="18"/>
        <item x="15"/>
        <item x="21"/>
        <item x="43"/>
        <item x="22"/>
        <item x="38"/>
        <item x="28"/>
        <item x="7"/>
        <item x="46"/>
        <item x="42"/>
        <item x="19"/>
        <item x="11"/>
        <item x="2"/>
        <item x="17"/>
        <item x="34"/>
        <item x="26"/>
        <item x="14"/>
        <item x="9"/>
        <item t="default"/>
      </items>
    </pivotField>
    <pivotField axis="axisCol" showAll="0">
      <items count="6">
        <item x="3"/>
        <item x="4"/>
        <item x="2"/>
        <item x="0"/>
        <item x="1"/>
        <item t="default"/>
      </items>
    </pivotField>
    <pivotField showAll="0"/>
    <pivotField showAll="0"/>
    <pivotField showAll="0"/>
    <pivotField showAll="0"/>
    <pivotField axis="axisRow" showAll="0">
      <items count="6">
        <item x="1"/>
        <item x="4"/>
        <item x="0"/>
        <item x="2"/>
        <item x="3"/>
        <item t="default"/>
      </items>
    </pivotField>
    <pivotField showAll="0"/>
    <pivotField showAll="0">
      <items count="23">
        <item x="4"/>
        <item x="7"/>
        <item x="9"/>
        <item x="21"/>
        <item x="3"/>
        <item x="1"/>
        <item x="2"/>
        <item x="20"/>
        <item x="15"/>
        <item x="13"/>
        <item x="6"/>
        <item x="8"/>
        <item x="17"/>
        <item x="18"/>
        <item x="14"/>
        <item x="12"/>
        <item x="0"/>
        <item x="11"/>
        <item x="19"/>
        <item x="16"/>
        <item x="10"/>
        <item x="5"/>
        <item t="default"/>
      </items>
    </pivotField>
  </pivotFields>
  <rowFields count="1">
    <field x="7"/>
  </rowFields>
  <rowItems count="6">
    <i>
      <x/>
    </i>
    <i>
      <x v="1"/>
    </i>
    <i>
      <x v="2"/>
    </i>
    <i>
      <x v="3"/>
    </i>
    <i>
      <x v="4"/>
    </i>
    <i t="grand">
      <x/>
    </i>
  </rowItems>
  <colFields count="1">
    <field x="2"/>
  </colFields>
  <colItems count="6">
    <i>
      <x/>
    </i>
    <i>
      <x v="1"/>
    </i>
    <i>
      <x v="2"/>
    </i>
    <i>
      <x v="3"/>
    </i>
    <i>
      <x v="4"/>
    </i>
    <i t="grand">
      <x/>
    </i>
  </colItems>
  <dataFields count="1">
    <dataField name="Count of Name" fld="1" subtotal="count" baseField="0" baseItem="0"/>
  </dataFields>
  <chartFormats count="20">
    <chartFormat chart="16" format="0" series="1">
      <pivotArea type="data" outline="0" fieldPosition="0">
        <references count="2">
          <reference field="4294967294" count="1" selected="0">
            <x v="0"/>
          </reference>
          <reference field="2" count="1" selected="0">
            <x v="0"/>
          </reference>
        </references>
      </pivotArea>
    </chartFormat>
    <chartFormat chart="16" format="1" series="1">
      <pivotArea type="data" outline="0" fieldPosition="0">
        <references count="2">
          <reference field="4294967294" count="1" selected="0">
            <x v="0"/>
          </reference>
          <reference field="2" count="1" selected="0">
            <x v="1"/>
          </reference>
        </references>
      </pivotArea>
    </chartFormat>
    <chartFormat chart="16" format="2" series="1">
      <pivotArea type="data" outline="0" fieldPosition="0">
        <references count="2">
          <reference field="4294967294" count="1" selected="0">
            <x v="0"/>
          </reference>
          <reference field="2" count="1" selected="0">
            <x v="2"/>
          </reference>
        </references>
      </pivotArea>
    </chartFormat>
    <chartFormat chart="16" format="3" series="1">
      <pivotArea type="data" outline="0" fieldPosition="0">
        <references count="2">
          <reference field="4294967294" count="1" selected="0">
            <x v="0"/>
          </reference>
          <reference field="2" count="1" selected="0">
            <x v="3"/>
          </reference>
        </references>
      </pivotArea>
    </chartFormat>
    <chartFormat chart="16" format="4" series="1">
      <pivotArea type="data" outline="0" fieldPosition="0">
        <references count="2">
          <reference field="4294967294" count="1" selected="0">
            <x v="0"/>
          </reference>
          <reference field="2" count="1" selected="0">
            <x v="4"/>
          </reference>
        </references>
      </pivotArea>
    </chartFormat>
    <chartFormat chart="17" format="5" series="1">
      <pivotArea type="data" outline="0" fieldPosition="0">
        <references count="2">
          <reference field="4294967294" count="1" selected="0">
            <x v="0"/>
          </reference>
          <reference field="2" count="1" selected="0">
            <x v="0"/>
          </reference>
        </references>
      </pivotArea>
    </chartFormat>
    <chartFormat chart="17" format="6" series="1">
      <pivotArea type="data" outline="0" fieldPosition="0">
        <references count="2">
          <reference field="4294967294" count="1" selected="0">
            <x v="0"/>
          </reference>
          <reference field="2" count="1" selected="0">
            <x v="1"/>
          </reference>
        </references>
      </pivotArea>
    </chartFormat>
    <chartFormat chart="17" format="7" series="1">
      <pivotArea type="data" outline="0" fieldPosition="0">
        <references count="2">
          <reference field="4294967294" count="1" selected="0">
            <x v="0"/>
          </reference>
          <reference field="2" count="1" selected="0">
            <x v="2"/>
          </reference>
        </references>
      </pivotArea>
    </chartFormat>
    <chartFormat chart="17" format="8" series="1">
      <pivotArea type="data" outline="0" fieldPosition="0">
        <references count="2">
          <reference field="4294967294" count="1" selected="0">
            <x v="0"/>
          </reference>
          <reference field="2" count="1" selected="0">
            <x v="3"/>
          </reference>
        </references>
      </pivotArea>
    </chartFormat>
    <chartFormat chart="17" format="9" series="1">
      <pivotArea type="data" outline="0" fieldPosition="0">
        <references count="2">
          <reference field="4294967294" count="1" selected="0">
            <x v="0"/>
          </reference>
          <reference field="2" count="1" selected="0">
            <x v="4"/>
          </reference>
        </references>
      </pivotArea>
    </chartFormat>
    <chartFormat chart="18" format="10" series="1">
      <pivotArea type="data" outline="0" fieldPosition="0">
        <references count="2">
          <reference field="4294967294" count="1" selected="0">
            <x v="0"/>
          </reference>
          <reference field="2" count="1" selected="0">
            <x v="0"/>
          </reference>
        </references>
      </pivotArea>
    </chartFormat>
    <chartFormat chart="18" format="11" series="1">
      <pivotArea type="data" outline="0" fieldPosition="0">
        <references count="2">
          <reference field="4294967294" count="1" selected="0">
            <x v="0"/>
          </reference>
          <reference field="2" count="1" selected="0">
            <x v="1"/>
          </reference>
        </references>
      </pivotArea>
    </chartFormat>
    <chartFormat chart="18" format="12" series="1">
      <pivotArea type="data" outline="0" fieldPosition="0">
        <references count="2">
          <reference field="4294967294" count="1" selected="0">
            <x v="0"/>
          </reference>
          <reference field="2" count="1" selected="0">
            <x v="2"/>
          </reference>
        </references>
      </pivotArea>
    </chartFormat>
    <chartFormat chart="18" format="13" series="1">
      <pivotArea type="data" outline="0" fieldPosition="0">
        <references count="2">
          <reference field="4294967294" count="1" selected="0">
            <x v="0"/>
          </reference>
          <reference field="2" count="1" selected="0">
            <x v="3"/>
          </reference>
        </references>
      </pivotArea>
    </chartFormat>
    <chartFormat chart="18" format="14" series="1">
      <pivotArea type="data" outline="0" fieldPosition="0">
        <references count="2">
          <reference field="4294967294" count="1" selected="0">
            <x v="0"/>
          </reference>
          <reference field="2" count="1" selected="0">
            <x v="4"/>
          </reference>
        </references>
      </pivotArea>
    </chartFormat>
    <chartFormat chart="4" format="15" series="1">
      <pivotArea type="data" outline="0" fieldPosition="0">
        <references count="2">
          <reference field="4294967294" count="1" selected="0">
            <x v="0"/>
          </reference>
          <reference field="2" count="1" selected="0">
            <x v="0"/>
          </reference>
        </references>
      </pivotArea>
    </chartFormat>
    <chartFormat chart="4" format="16" series="1">
      <pivotArea type="data" outline="0" fieldPosition="0">
        <references count="2">
          <reference field="4294967294" count="1" selected="0">
            <x v="0"/>
          </reference>
          <reference field="2" count="1" selected="0">
            <x v="1"/>
          </reference>
        </references>
      </pivotArea>
    </chartFormat>
    <chartFormat chart="4" format="17" series="1">
      <pivotArea type="data" outline="0" fieldPosition="0">
        <references count="2">
          <reference field="4294967294" count="1" selected="0">
            <x v="0"/>
          </reference>
          <reference field="2" count="1" selected="0">
            <x v="2"/>
          </reference>
        </references>
      </pivotArea>
    </chartFormat>
    <chartFormat chart="4" format="18" series="1">
      <pivotArea type="data" outline="0" fieldPosition="0">
        <references count="2">
          <reference field="4294967294" count="1" selected="0">
            <x v="0"/>
          </reference>
          <reference field="2" count="1" selected="0">
            <x v="3"/>
          </reference>
        </references>
      </pivotArea>
    </chartFormat>
    <chartFormat chart="4" format="19"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FA0D3F-60F1-4AC2-8BC8-596DB800BEAD}" name="Expe_Em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I3:J22" firstHeaderRow="1" firstDataRow="1" firstDataCol="1"/>
  <pivotFields count="10">
    <pivotField showAll="0"/>
    <pivotField dataField="1" showAll="0"/>
    <pivotField showAll="0">
      <items count="6">
        <item x="3"/>
        <item x="4"/>
        <item x="2"/>
        <item x="0"/>
        <item x="1"/>
        <item t="default"/>
      </items>
    </pivotField>
    <pivotField axis="axisRow" showAll="0">
      <items count="20">
        <item x="15"/>
        <item x="9"/>
        <item x="4"/>
        <item x="7"/>
        <item x="18"/>
        <item x="10"/>
        <item x="1"/>
        <item x="3"/>
        <item x="14"/>
        <item x="11"/>
        <item x="16"/>
        <item x="2"/>
        <item x="13"/>
        <item x="5"/>
        <item x="0"/>
        <item x="12"/>
        <item x="6"/>
        <item x="8"/>
        <item x="17"/>
        <item t="default"/>
      </items>
    </pivotField>
    <pivotField showAll="0"/>
    <pivotField showAll="0"/>
    <pivotField showAll="0"/>
    <pivotField showAll="0"/>
    <pivotField showAll="0"/>
    <pivotField showAll="0">
      <items count="23">
        <item x="4"/>
        <item x="7"/>
        <item x="9"/>
        <item x="21"/>
        <item x="3"/>
        <item x="1"/>
        <item x="2"/>
        <item x="20"/>
        <item x="15"/>
        <item x="13"/>
        <item x="6"/>
        <item x="8"/>
        <item x="17"/>
        <item x="18"/>
        <item x="14"/>
        <item x="12"/>
        <item x="0"/>
        <item x="11"/>
        <item x="19"/>
        <item x="16"/>
        <item x="10"/>
        <item x="5"/>
        <item t="default"/>
      </items>
    </pivotField>
  </pivotFields>
  <rowFields count="1">
    <field x="3"/>
  </rowFields>
  <rowItems count="19">
    <i>
      <x/>
    </i>
    <i>
      <x v="1"/>
    </i>
    <i>
      <x v="2"/>
    </i>
    <i>
      <x v="3"/>
    </i>
    <i>
      <x v="4"/>
    </i>
    <i>
      <x v="5"/>
    </i>
    <i>
      <x v="6"/>
    </i>
    <i>
      <x v="7"/>
    </i>
    <i>
      <x v="8"/>
    </i>
    <i>
      <x v="9"/>
    </i>
    <i>
      <x v="10"/>
    </i>
    <i>
      <x v="11"/>
    </i>
    <i>
      <x v="12"/>
    </i>
    <i>
      <x v="13"/>
    </i>
    <i>
      <x v="14"/>
    </i>
    <i>
      <x v="15"/>
    </i>
    <i>
      <x v="16"/>
    </i>
    <i>
      <x v="17"/>
    </i>
    <i>
      <x v="18"/>
    </i>
  </rowItems>
  <colItems count="1">
    <i/>
  </colItems>
  <dataFields count="1">
    <dataField name="Count of Name" fld="1"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A76AE6-D50E-4556-84F9-DE4F3DD5ADE3}" name="Salaryby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9" firstHeaderRow="1" firstDataRow="1" firstDataCol="1"/>
  <pivotFields count="10">
    <pivotField showAll="0"/>
    <pivotField showAll="0"/>
    <pivotField showAll="0">
      <items count="6">
        <item x="3"/>
        <item x="4"/>
        <item x="2"/>
        <item x="0"/>
        <item x="1"/>
        <item t="default"/>
      </items>
    </pivotField>
    <pivotField showAll="0"/>
    <pivotField showAll="0"/>
    <pivotField showAll="0"/>
    <pivotField showAll="0"/>
    <pivotField axis="axisRow" showAll="0">
      <items count="6">
        <item x="1"/>
        <item x="4"/>
        <item x="0"/>
        <item x="2"/>
        <item x="3"/>
        <item t="default"/>
      </items>
    </pivotField>
    <pivotField dataField="1" showAll="0"/>
    <pivotField showAll="0">
      <items count="23">
        <item x="4"/>
        <item x="7"/>
        <item x="9"/>
        <item x="21"/>
        <item x="3"/>
        <item x="1"/>
        <item x="2"/>
        <item x="20"/>
        <item x="15"/>
        <item x="13"/>
        <item x="6"/>
        <item x="8"/>
        <item x="17"/>
        <item x="18"/>
        <item x="14"/>
        <item x="12"/>
        <item x="0"/>
        <item x="11"/>
        <item x="19"/>
        <item x="16"/>
        <item x="10"/>
        <item x="5"/>
        <item t="default"/>
      </items>
    </pivotField>
  </pivotFields>
  <rowFields count="1">
    <field x="7"/>
  </rowFields>
  <rowItems count="6">
    <i>
      <x/>
    </i>
    <i>
      <x v="1"/>
    </i>
    <i>
      <x v="2"/>
    </i>
    <i>
      <x v="3"/>
    </i>
    <i>
      <x v="4"/>
    </i>
    <i t="grand">
      <x/>
    </i>
  </rowItems>
  <colItems count="1">
    <i/>
  </colItems>
  <dataFields count="1">
    <dataField name="Sum of Monthly_Salary" fld="8" baseField="0" baseItem="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7" count="1" selected="0">
            <x v="0"/>
          </reference>
        </references>
      </pivotArea>
    </chartFormat>
    <chartFormat chart="5" format="9">
      <pivotArea type="data" outline="0" fieldPosition="0">
        <references count="2">
          <reference field="4294967294" count="1" selected="0">
            <x v="0"/>
          </reference>
          <reference field="7" count="1" selected="0">
            <x v="1"/>
          </reference>
        </references>
      </pivotArea>
    </chartFormat>
    <chartFormat chart="5" format="10">
      <pivotArea type="data" outline="0" fieldPosition="0">
        <references count="2">
          <reference field="4294967294" count="1" selected="0">
            <x v="0"/>
          </reference>
          <reference field="7" count="1" selected="0">
            <x v="2"/>
          </reference>
        </references>
      </pivotArea>
    </chartFormat>
    <chartFormat chart="5" format="11">
      <pivotArea type="data" outline="0" fieldPosition="0">
        <references count="2">
          <reference field="4294967294" count="1" selected="0">
            <x v="0"/>
          </reference>
          <reference field="7" count="1" selected="0">
            <x v="3"/>
          </reference>
        </references>
      </pivotArea>
    </chartFormat>
    <chartFormat chart="5" format="12">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B3F0FB96-8C21-492C-8E9E-80655B8F8CB5}" sourceName="JobRole">
  <pivotTables>
    <pivotTable tabId="2" name="SalarybyDep"/>
    <pivotTable tabId="2" name="City_Dep_Emp"/>
    <pivotTable tabId="2" name="Expe_Emp"/>
    <pivotTable tabId="2" name="Job_Role_Emp"/>
    <pivotTable tabId="2" name="PivotTable8"/>
    <pivotTable tabId="2" name="SalarybyCity"/>
  </pivotTables>
  <data>
    <tabular pivotCacheId="1099908853">
      <items count="22">
        <i x="4" s="1"/>
        <i x="7" s="1"/>
        <i x="9" s="1"/>
        <i x="21" s="1"/>
        <i x="3" s="1"/>
        <i x="1" s="1"/>
        <i x="2" s="1"/>
        <i x="20" s="1"/>
        <i x="15" s="1"/>
        <i x="13" s="1"/>
        <i x="6" s="1"/>
        <i x="8" s="1"/>
        <i x="17" s="1"/>
        <i x="18" s="1"/>
        <i x="14" s="1"/>
        <i x="12" s="1"/>
        <i x="0" s="1"/>
        <i x="11" s="1"/>
        <i x="19" s="1"/>
        <i x="16" s="1"/>
        <i x="1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xr10:uid="{97D99951-AB97-46FB-AF1F-726653F2455F}" cache="Slicer_JobRole" caption="JobRole" style="SlicerStyleDark1"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A3B1-FBE2-49E8-ABBB-E2B4380D8371}">
  <dimension ref="A3:M38"/>
  <sheetViews>
    <sheetView workbookViewId="0">
      <selection activeCell="J25" sqref="J25"/>
    </sheetView>
  </sheetViews>
  <sheetFormatPr defaultRowHeight="15.6" x14ac:dyDescent="0.3"/>
  <cols>
    <col min="1" max="1" width="13.69921875" bestFit="1" customWidth="1"/>
    <col min="2" max="2" width="15.19921875" bestFit="1" customWidth="1"/>
    <col min="3" max="3" width="3.296875" bestFit="1" customWidth="1"/>
    <col min="4" max="4" width="12.296875" bestFit="1" customWidth="1"/>
    <col min="5" max="5" width="20.5" bestFit="1" customWidth="1"/>
    <col min="6" max="6" width="10.296875" bestFit="1" customWidth="1"/>
    <col min="7" max="7" width="10.8984375" bestFit="1" customWidth="1"/>
    <col min="9" max="9" width="12.296875" bestFit="1" customWidth="1"/>
    <col min="10" max="10" width="13.69921875" bestFit="1" customWidth="1"/>
    <col min="12" max="12" width="29" bestFit="1" customWidth="1"/>
    <col min="13" max="13" width="13.69921875" bestFit="1" customWidth="1"/>
  </cols>
  <sheetData>
    <row r="3" spans="1:13" x14ac:dyDescent="0.3">
      <c r="A3" s="2" t="s">
        <v>98</v>
      </c>
      <c r="B3" t="s">
        <v>100</v>
      </c>
      <c r="D3" s="2" t="s">
        <v>98</v>
      </c>
      <c r="E3" t="s">
        <v>100</v>
      </c>
      <c r="I3" s="2" t="s">
        <v>98</v>
      </c>
      <c r="J3" t="s">
        <v>102</v>
      </c>
      <c r="L3" s="2" t="s">
        <v>98</v>
      </c>
      <c r="M3" t="s">
        <v>102</v>
      </c>
    </row>
    <row r="4" spans="1:13" x14ac:dyDescent="0.3">
      <c r="A4" s="3" t="s">
        <v>32</v>
      </c>
      <c r="B4">
        <v>672619</v>
      </c>
      <c r="D4" s="3" t="s">
        <v>19</v>
      </c>
      <c r="E4">
        <v>1089045</v>
      </c>
      <c r="I4" s="3">
        <v>1</v>
      </c>
      <c r="J4">
        <v>3</v>
      </c>
      <c r="L4" s="3" t="s">
        <v>32</v>
      </c>
      <c r="M4">
        <v>10</v>
      </c>
    </row>
    <row r="5" spans="1:13" x14ac:dyDescent="0.3">
      <c r="A5" s="3" t="s">
        <v>57</v>
      </c>
      <c r="B5">
        <v>580616</v>
      </c>
      <c r="D5" s="3" t="s">
        <v>55</v>
      </c>
      <c r="E5">
        <v>286898</v>
      </c>
      <c r="I5" s="3">
        <v>2</v>
      </c>
      <c r="J5">
        <v>2</v>
      </c>
      <c r="L5" s="4" t="s">
        <v>34</v>
      </c>
      <c r="M5">
        <v>2</v>
      </c>
    </row>
    <row r="6" spans="1:13" x14ac:dyDescent="0.3">
      <c r="A6" s="3" t="s">
        <v>22</v>
      </c>
      <c r="B6">
        <v>765205</v>
      </c>
      <c r="D6" s="3" t="s">
        <v>14</v>
      </c>
      <c r="E6">
        <v>1399987</v>
      </c>
      <c r="I6" s="3">
        <v>3</v>
      </c>
      <c r="J6">
        <v>3</v>
      </c>
      <c r="L6" s="4" t="s">
        <v>40</v>
      </c>
      <c r="M6">
        <v>1</v>
      </c>
    </row>
    <row r="7" spans="1:13" x14ac:dyDescent="0.3">
      <c r="A7" s="3" t="s">
        <v>11</v>
      </c>
      <c r="B7">
        <v>1253601</v>
      </c>
      <c r="D7" s="3" t="s">
        <v>24</v>
      </c>
      <c r="E7">
        <v>809788</v>
      </c>
      <c r="I7" s="3">
        <v>4</v>
      </c>
      <c r="J7">
        <v>4</v>
      </c>
      <c r="L7" s="4" t="s">
        <v>96</v>
      </c>
      <c r="M7">
        <v>1</v>
      </c>
    </row>
    <row r="8" spans="1:13" x14ac:dyDescent="0.3">
      <c r="A8" s="3" t="s">
        <v>17</v>
      </c>
      <c r="B8">
        <v>842399</v>
      </c>
      <c r="D8" s="3" t="s">
        <v>33</v>
      </c>
      <c r="E8">
        <v>528722</v>
      </c>
      <c r="I8" s="3">
        <v>5</v>
      </c>
      <c r="J8">
        <v>1</v>
      </c>
      <c r="L8" s="4" t="s">
        <v>38</v>
      </c>
      <c r="M8">
        <v>1</v>
      </c>
    </row>
    <row r="9" spans="1:13" x14ac:dyDescent="0.3">
      <c r="D9" s="3" t="s">
        <v>99</v>
      </c>
      <c r="E9">
        <v>4114440</v>
      </c>
      <c r="I9" s="3">
        <v>6</v>
      </c>
      <c r="J9">
        <v>1</v>
      </c>
      <c r="L9" s="4" t="s">
        <v>15</v>
      </c>
      <c r="M9">
        <v>3</v>
      </c>
    </row>
    <row r="10" spans="1:13" x14ac:dyDescent="0.3">
      <c r="A10" s="3" t="s">
        <v>103</v>
      </c>
      <c r="B10" t="str">
        <f>"Total Salary"&amp;CHAR(10)&amp;TEXT(SUM(B4:B8)/1000,"0.0k")</f>
        <v>Total Salary
4114.4k</v>
      </c>
      <c r="I10" s="3">
        <v>7</v>
      </c>
      <c r="J10">
        <v>2</v>
      </c>
      <c r="L10" s="4" t="s">
        <v>90</v>
      </c>
      <c r="M10">
        <v>2</v>
      </c>
    </row>
    <row r="11" spans="1:13" x14ac:dyDescent="0.3">
      <c r="D11" s="2" t="s">
        <v>98</v>
      </c>
      <c r="E11" t="s">
        <v>100</v>
      </c>
      <c r="I11" s="3">
        <v>8</v>
      </c>
      <c r="J11">
        <v>6</v>
      </c>
      <c r="L11" s="3" t="s">
        <v>57</v>
      </c>
      <c r="M11">
        <v>7</v>
      </c>
    </row>
    <row r="12" spans="1:13" x14ac:dyDescent="0.3">
      <c r="D12" s="3" t="s">
        <v>13</v>
      </c>
      <c r="E12">
        <v>2357267</v>
      </c>
      <c r="I12" s="3">
        <v>9</v>
      </c>
      <c r="J12">
        <v>2</v>
      </c>
      <c r="L12" s="4" t="s">
        <v>92</v>
      </c>
      <c r="M12">
        <v>1</v>
      </c>
    </row>
    <row r="13" spans="1:13" x14ac:dyDescent="0.3">
      <c r="D13" s="3" t="s">
        <v>28</v>
      </c>
      <c r="E13">
        <v>1757173</v>
      </c>
      <c r="I13" s="3">
        <v>10</v>
      </c>
      <c r="J13">
        <v>3</v>
      </c>
      <c r="L13" s="4" t="s">
        <v>65</v>
      </c>
      <c r="M13">
        <v>3</v>
      </c>
    </row>
    <row r="14" spans="1:13" x14ac:dyDescent="0.3">
      <c r="D14" s="3" t="s">
        <v>99</v>
      </c>
      <c r="E14">
        <v>4114440</v>
      </c>
      <c r="I14" s="3">
        <v>11</v>
      </c>
      <c r="J14">
        <v>1</v>
      </c>
      <c r="L14" s="4" t="s">
        <v>58</v>
      </c>
      <c r="M14">
        <v>1</v>
      </c>
    </row>
    <row r="15" spans="1:13" x14ac:dyDescent="0.3">
      <c r="I15" s="3">
        <v>12</v>
      </c>
      <c r="J15">
        <v>3</v>
      </c>
      <c r="L15" s="4" t="s">
        <v>83</v>
      </c>
      <c r="M15">
        <v>2</v>
      </c>
    </row>
    <row r="16" spans="1:13" x14ac:dyDescent="0.3">
      <c r="I16" s="3">
        <v>13</v>
      </c>
      <c r="J16">
        <v>3</v>
      </c>
      <c r="L16" s="3" t="s">
        <v>22</v>
      </c>
      <c r="M16">
        <v>10</v>
      </c>
    </row>
    <row r="17" spans="1:13" x14ac:dyDescent="0.3">
      <c r="I17" s="3">
        <v>14</v>
      </c>
      <c r="J17">
        <v>3</v>
      </c>
      <c r="L17" s="4" t="s">
        <v>40</v>
      </c>
      <c r="M17">
        <v>1</v>
      </c>
    </row>
    <row r="18" spans="1:13" x14ac:dyDescent="0.3">
      <c r="I18" s="3">
        <v>15</v>
      </c>
      <c r="J18">
        <v>5</v>
      </c>
      <c r="L18" s="4" t="s">
        <v>45</v>
      </c>
      <c r="M18">
        <v>1</v>
      </c>
    </row>
    <row r="19" spans="1:13" x14ac:dyDescent="0.3">
      <c r="A19" s="2" t="s">
        <v>102</v>
      </c>
      <c r="B19" s="2" t="s">
        <v>101</v>
      </c>
      <c r="I19" s="3">
        <v>16</v>
      </c>
      <c r="J19">
        <v>2</v>
      </c>
      <c r="L19" s="4" t="s">
        <v>25</v>
      </c>
      <c r="M19">
        <v>2</v>
      </c>
    </row>
    <row r="20" spans="1:13" x14ac:dyDescent="0.3">
      <c r="A20" s="2" t="s">
        <v>98</v>
      </c>
      <c r="B20" t="s">
        <v>32</v>
      </c>
      <c r="C20" t="s">
        <v>57</v>
      </c>
      <c r="D20" t="s">
        <v>22</v>
      </c>
      <c r="E20" t="s">
        <v>11</v>
      </c>
      <c r="F20" t="s">
        <v>17</v>
      </c>
      <c r="G20" t="s">
        <v>99</v>
      </c>
      <c r="I20" s="3">
        <v>17</v>
      </c>
      <c r="J20">
        <v>2</v>
      </c>
      <c r="L20" s="4" t="s">
        <v>38</v>
      </c>
      <c r="M20">
        <v>1</v>
      </c>
    </row>
    <row r="21" spans="1:13" x14ac:dyDescent="0.3">
      <c r="A21" s="3" t="s">
        <v>19</v>
      </c>
      <c r="C21">
        <v>2</v>
      </c>
      <c r="D21">
        <v>2</v>
      </c>
      <c r="E21">
        <v>6</v>
      </c>
      <c r="F21">
        <v>1</v>
      </c>
      <c r="G21">
        <v>11</v>
      </c>
      <c r="I21" s="3">
        <v>18</v>
      </c>
      <c r="J21">
        <v>3</v>
      </c>
      <c r="L21" s="4" t="s">
        <v>74</v>
      </c>
      <c r="M21">
        <v>1</v>
      </c>
    </row>
    <row r="22" spans="1:13" x14ac:dyDescent="0.3">
      <c r="A22" s="3" t="s">
        <v>55</v>
      </c>
      <c r="C22">
        <v>2</v>
      </c>
      <c r="D22">
        <v>1</v>
      </c>
      <c r="F22">
        <v>2</v>
      </c>
      <c r="G22">
        <v>5</v>
      </c>
      <c r="I22" s="3">
        <v>19</v>
      </c>
      <c r="J22">
        <v>1</v>
      </c>
      <c r="L22" s="4" t="s">
        <v>68</v>
      </c>
      <c r="M22">
        <v>1</v>
      </c>
    </row>
    <row r="23" spans="1:13" x14ac:dyDescent="0.3">
      <c r="A23" s="3" t="s">
        <v>14</v>
      </c>
      <c r="B23">
        <v>5</v>
      </c>
      <c r="C23">
        <v>1</v>
      </c>
      <c r="D23">
        <v>1</v>
      </c>
      <c r="E23">
        <v>4</v>
      </c>
      <c r="F23">
        <v>4</v>
      </c>
      <c r="G23">
        <v>15</v>
      </c>
      <c r="L23" s="4" t="s">
        <v>36</v>
      </c>
      <c r="M23">
        <v>3</v>
      </c>
    </row>
    <row r="24" spans="1:13" x14ac:dyDescent="0.3">
      <c r="A24" s="3" t="s">
        <v>24</v>
      </c>
      <c r="B24">
        <v>3</v>
      </c>
      <c r="C24">
        <v>1</v>
      </c>
      <c r="D24">
        <v>5</v>
      </c>
      <c r="E24">
        <v>2</v>
      </c>
      <c r="F24">
        <v>1</v>
      </c>
      <c r="G24">
        <v>12</v>
      </c>
      <c r="I24" t="s">
        <v>104</v>
      </c>
      <c r="J24" t="str">
        <f>"Total Emp"&amp;CHAR(10)&amp;SUM(J4:J22)</f>
        <v>Total Emp
50</v>
      </c>
      <c r="L24" s="3" t="s">
        <v>11</v>
      </c>
      <c r="M24">
        <v>13</v>
      </c>
    </row>
    <row r="25" spans="1:13" x14ac:dyDescent="0.3">
      <c r="A25" s="3" t="s">
        <v>33</v>
      </c>
      <c r="B25">
        <v>2</v>
      </c>
      <c r="C25">
        <v>1</v>
      </c>
      <c r="D25">
        <v>1</v>
      </c>
      <c r="E25">
        <v>1</v>
      </c>
      <c r="F25">
        <v>2</v>
      </c>
      <c r="G25">
        <v>7</v>
      </c>
      <c r="L25" s="4" t="s">
        <v>40</v>
      </c>
      <c r="M25">
        <v>1</v>
      </c>
    </row>
    <row r="26" spans="1:13" x14ac:dyDescent="0.3">
      <c r="A26" s="3" t="s">
        <v>99</v>
      </c>
      <c r="B26">
        <v>10</v>
      </c>
      <c r="C26">
        <v>7</v>
      </c>
      <c r="D26">
        <v>10</v>
      </c>
      <c r="E26">
        <v>13</v>
      </c>
      <c r="F26">
        <v>10</v>
      </c>
      <c r="G26">
        <v>50</v>
      </c>
      <c r="L26" s="4" t="s">
        <v>38</v>
      </c>
      <c r="M26">
        <v>1</v>
      </c>
    </row>
    <row r="27" spans="1:13" x14ac:dyDescent="0.3">
      <c r="L27" s="4" t="s">
        <v>43</v>
      </c>
      <c r="M27">
        <v>3</v>
      </c>
    </row>
    <row r="28" spans="1:13" x14ac:dyDescent="0.3">
      <c r="L28" s="4" t="s">
        <v>63</v>
      </c>
      <c r="M28">
        <v>1</v>
      </c>
    </row>
    <row r="29" spans="1:13" x14ac:dyDescent="0.3">
      <c r="L29" s="4" t="s">
        <v>53</v>
      </c>
      <c r="M29">
        <v>2</v>
      </c>
    </row>
    <row r="30" spans="1:13" x14ac:dyDescent="0.3">
      <c r="L30" s="4" t="s">
        <v>15</v>
      </c>
      <c r="M30">
        <v>2</v>
      </c>
    </row>
    <row r="31" spans="1:13" x14ac:dyDescent="0.3">
      <c r="L31" s="4" t="s">
        <v>50</v>
      </c>
      <c r="M31">
        <v>3</v>
      </c>
    </row>
    <row r="32" spans="1:13" x14ac:dyDescent="0.3">
      <c r="L32" s="3" t="s">
        <v>17</v>
      </c>
      <c r="M32">
        <v>10</v>
      </c>
    </row>
    <row r="33" spans="12:13" x14ac:dyDescent="0.3">
      <c r="L33" s="4" t="s">
        <v>40</v>
      </c>
      <c r="M33">
        <v>1</v>
      </c>
    </row>
    <row r="34" spans="12:13" x14ac:dyDescent="0.3">
      <c r="L34" s="4" t="s">
        <v>30</v>
      </c>
      <c r="M34">
        <v>2</v>
      </c>
    </row>
    <row r="35" spans="12:13" x14ac:dyDescent="0.3">
      <c r="L35" s="4" t="s">
        <v>20</v>
      </c>
      <c r="M35">
        <v>3</v>
      </c>
    </row>
    <row r="36" spans="12:13" x14ac:dyDescent="0.3">
      <c r="L36" s="4" t="s">
        <v>38</v>
      </c>
      <c r="M36">
        <v>1</v>
      </c>
    </row>
    <row r="37" spans="12:13" x14ac:dyDescent="0.3">
      <c r="L37" s="4" t="s">
        <v>47</v>
      </c>
      <c r="M37">
        <v>3</v>
      </c>
    </row>
    <row r="38" spans="12:13" x14ac:dyDescent="0.3">
      <c r="L38" s="3" t="s">
        <v>99</v>
      </c>
      <c r="M38">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C0B56-DE45-B446-ACF1-300297EE0800}">
  <dimension ref="A1:J51"/>
  <sheetViews>
    <sheetView workbookViewId="0">
      <selection activeCell="C13" sqref="A1:J51"/>
    </sheetView>
  </sheetViews>
  <sheetFormatPr defaultColWidth="11.19921875" defaultRowHeight="15.6" x14ac:dyDescent="0.3"/>
  <cols>
    <col min="2" max="2" width="17.296875" bestFit="1" customWidth="1"/>
    <col min="4" max="4" width="15.59765625" bestFit="1" customWidth="1"/>
    <col min="5" max="5" width="14.59765625" bestFit="1" customWidth="1"/>
    <col min="9" max="9" width="14.09765625" bestFit="1" customWidth="1"/>
    <col min="10" max="10" width="24.898437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1">
        <v>1</v>
      </c>
      <c r="B2" s="1" t="s">
        <v>10</v>
      </c>
      <c r="C2" s="1" t="s">
        <v>11</v>
      </c>
      <c r="D2" s="1">
        <v>15</v>
      </c>
      <c r="E2" s="1" t="s">
        <v>12</v>
      </c>
      <c r="F2" s="1">
        <v>53</v>
      </c>
      <c r="G2" s="1" t="s">
        <v>13</v>
      </c>
      <c r="H2" s="1" t="s">
        <v>14</v>
      </c>
      <c r="I2" s="1">
        <v>111416</v>
      </c>
      <c r="J2" s="1" t="s">
        <v>15</v>
      </c>
    </row>
    <row r="3" spans="1:10" x14ac:dyDescent="0.3">
      <c r="A3" s="1">
        <v>2</v>
      </c>
      <c r="B3" s="1" t="s">
        <v>16</v>
      </c>
      <c r="C3" s="1" t="s">
        <v>17</v>
      </c>
      <c r="D3" s="1">
        <v>7</v>
      </c>
      <c r="E3" s="1" t="s">
        <v>18</v>
      </c>
      <c r="F3" s="1">
        <v>25</v>
      </c>
      <c r="G3" s="1" t="s">
        <v>13</v>
      </c>
      <c r="H3" s="1" t="s">
        <v>19</v>
      </c>
      <c r="I3" s="1">
        <v>95271</v>
      </c>
      <c r="J3" s="1" t="s">
        <v>20</v>
      </c>
    </row>
    <row r="4" spans="1:10" x14ac:dyDescent="0.3">
      <c r="A4" s="1">
        <v>3</v>
      </c>
      <c r="B4" s="1" t="s">
        <v>21</v>
      </c>
      <c r="C4" s="1" t="s">
        <v>22</v>
      </c>
      <c r="D4" s="1">
        <v>12</v>
      </c>
      <c r="E4" s="1" t="s">
        <v>23</v>
      </c>
      <c r="F4" s="1">
        <v>51</v>
      </c>
      <c r="G4" s="1" t="s">
        <v>13</v>
      </c>
      <c r="H4" s="1" t="s">
        <v>24</v>
      </c>
      <c r="I4" s="1">
        <v>69064</v>
      </c>
      <c r="J4" s="1" t="s">
        <v>25</v>
      </c>
    </row>
    <row r="5" spans="1:10" x14ac:dyDescent="0.3">
      <c r="A5" s="1">
        <v>4</v>
      </c>
      <c r="B5" s="1" t="s">
        <v>26</v>
      </c>
      <c r="C5" s="1" t="s">
        <v>17</v>
      </c>
      <c r="D5" s="1">
        <v>8</v>
      </c>
      <c r="E5" s="1" t="s">
        <v>27</v>
      </c>
      <c r="F5" s="1">
        <v>44</v>
      </c>
      <c r="G5" s="1" t="s">
        <v>28</v>
      </c>
      <c r="H5" s="1" t="s">
        <v>14</v>
      </c>
      <c r="I5" s="1">
        <v>95091</v>
      </c>
      <c r="J5" s="1" t="s">
        <v>20</v>
      </c>
    </row>
    <row r="6" spans="1:10" x14ac:dyDescent="0.3">
      <c r="A6" s="1">
        <v>5</v>
      </c>
      <c r="B6" s="1" t="s">
        <v>29</v>
      </c>
      <c r="C6" s="1" t="s">
        <v>17</v>
      </c>
      <c r="D6" s="1">
        <v>15</v>
      </c>
      <c r="E6" s="1" t="s">
        <v>12</v>
      </c>
      <c r="F6" s="1">
        <v>36</v>
      </c>
      <c r="G6" s="1" t="s">
        <v>13</v>
      </c>
      <c r="H6" s="1" t="s">
        <v>14</v>
      </c>
      <c r="I6" s="1">
        <v>132450</v>
      </c>
      <c r="J6" s="1" t="s">
        <v>30</v>
      </c>
    </row>
    <row r="7" spans="1:10" x14ac:dyDescent="0.3">
      <c r="A7" s="1">
        <v>6</v>
      </c>
      <c r="B7" s="1" t="s">
        <v>31</v>
      </c>
      <c r="C7" s="1" t="s">
        <v>32</v>
      </c>
      <c r="D7" s="1">
        <v>3</v>
      </c>
      <c r="E7" s="1" t="s">
        <v>23</v>
      </c>
      <c r="F7" s="1">
        <v>50</v>
      </c>
      <c r="G7" s="1" t="s">
        <v>28</v>
      </c>
      <c r="H7" s="1" t="s">
        <v>33</v>
      </c>
      <c r="I7" s="1">
        <v>65818</v>
      </c>
      <c r="J7" s="1" t="s">
        <v>34</v>
      </c>
    </row>
    <row r="8" spans="1:10" x14ac:dyDescent="0.3">
      <c r="A8" s="1">
        <v>7</v>
      </c>
      <c r="B8" s="1" t="s">
        <v>35</v>
      </c>
      <c r="C8" s="1" t="s">
        <v>22</v>
      </c>
      <c r="D8" s="1">
        <v>14</v>
      </c>
      <c r="E8" s="1" t="s">
        <v>27</v>
      </c>
      <c r="F8" s="1">
        <v>57</v>
      </c>
      <c r="G8" s="1" t="s">
        <v>28</v>
      </c>
      <c r="H8" s="1" t="s">
        <v>33</v>
      </c>
      <c r="I8" s="1">
        <v>70525</v>
      </c>
      <c r="J8" s="1" t="s">
        <v>36</v>
      </c>
    </row>
    <row r="9" spans="1:10" x14ac:dyDescent="0.3">
      <c r="A9" s="1">
        <v>8</v>
      </c>
      <c r="B9" s="1" t="s">
        <v>37</v>
      </c>
      <c r="C9" s="1" t="s">
        <v>22</v>
      </c>
      <c r="D9" s="1">
        <v>17</v>
      </c>
      <c r="E9" s="1" t="s">
        <v>27</v>
      </c>
      <c r="F9" s="1">
        <v>34</v>
      </c>
      <c r="G9" s="1" t="s">
        <v>13</v>
      </c>
      <c r="H9" s="1" t="s">
        <v>19</v>
      </c>
      <c r="I9" s="1">
        <v>44830</v>
      </c>
      <c r="J9" s="1" t="s">
        <v>38</v>
      </c>
    </row>
    <row r="10" spans="1:10" x14ac:dyDescent="0.3">
      <c r="A10" s="1">
        <v>9</v>
      </c>
      <c r="B10" s="1" t="s">
        <v>39</v>
      </c>
      <c r="C10" s="1" t="s">
        <v>22</v>
      </c>
      <c r="D10" s="1">
        <v>4</v>
      </c>
      <c r="E10" s="1" t="s">
        <v>18</v>
      </c>
      <c r="F10" s="1">
        <v>53</v>
      </c>
      <c r="G10" s="1" t="s">
        <v>28</v>
      </c>
      <c r="H10" s="1" t="s">
        <v>24</v>
      </c>
      <c r="I10" s="1">
        <v>42429</v>
      </c>
      <c r="J10" s="1" t="s">
        <v>40</v>
      </c>
    </row>
    <row r="11" spans="1:10" x14ac:dyDescent="0.3">
      <c r="A11" s="1">
        <v>10</v>
      </c>
      <c r="B11" s="1" t="s">
        <v>41</v>
      </c>
      <c r="C11" s="1" t="s">
        <v>17</v>
      </c>
      <c r="D11" s="1">
        <v>18</v>
      </c>
      <c r="E11" s="1" t="s">
        <v>23</v>
      </c>
      <c r="F11" s="1">
        <v>28</v>
      </c>
      <c r="G11" s="1" t="s">
        <v>28</v>
      </c>
      <c r="H11" s="1" t="s">
        <v>33</v>
      </c>
      <c r="I11" s="1">
        <v>31893</v>
      </c>
      <c r="J11" s="1" t="s">
        <v>38</v>
      </c>
    </row>
    <row r="12" spans="1:10" x14ac:dyDescent="0.3">
      <c r="A12" s="1">
        <v>11</v>
      </c>
      <c r="B12" s="1" t="s">
        <v>42</v>
      </c>
      <c r="C12" s="1" t="s">
        <v>11</v>
      </c>
      <c r="D12" s="1">
        <v>8</v>
      </c>
      <c r="E12" s="1" t="s">
        <v>27</v>
      </c>
      <c r="F12" s="1">
        <v>43</v>
      </c>
      <c r="G12" s="1" t="s">
        <v>28</v>
      </c>
      <c r="H12" s="1" t="s">
        <v>14</v>
      </c>
      <c r="I12" s="1">
        <v>141381</v>
      </c>
      <c r="J12" s="1" t="s">
        <v>43</v>
      </c>
    </row>
    <row r="13" spans="1:10" x14ac:dyDescent="0.3">
      <c r="A13" s="1">
        <v>12</v>
      </c>
      <c r="B13" s="1" t="s">
        <v>44</v>
      </c>
      <c r="C13" s="1" t="s">
        <v>22</v>
      </c>
      <c r="D13" s="1">
        <v>4</v>
      </c>
      <c r="E13" s="1" t="s">
        <v>12</v>
      </c>
      <c r="F13" s="1">
        <v>49</v>
      </c>
      <c r="G13" s="1" t="s">
        <v>13</v>
      </c>
      <c r="H13" s="1" t="s">
        <v>24</v>
      </c>
      <c r="I13" s="1">
        <v>104909</v>
      </c>
      <c r="J13" s="1" t="s">
        <v>45</v>
      </c>
    </row>
    <row r="14" spans="1:10" x14ac:dyDescent="0.3">
      <c r="A14" s="1">
        <v>13</v>
      </c>
      <c r="B14" s="1" t="s">
        <v>46</v>
      </c>
      <c r="C14" s="1" t="s">
        <v>17</v>
      </c>
      <c r="D14" s="1">
        <v>2</v>
      </c>
      <c r="E14" s="1" t="s">
        <v>12</v>
      </c>
      <c r="F14" s="1">
        <v>23</v>
      </c>
      <c r="G14" s="1" t="s">
        <v>13</v>
      </c>
      <c r="H14" s="1" t="s">
        <v>24</v>
      </c>
      <c r="I14" s="1">
        <v>72333</v>
      </c>
      <c r="J14" s="1" t="s">
        <v>47</v>
      </c>
    </row>
    <row r="15" spans="1:10" x14ac:dyDescent="0.3">
      <c r="A15" s="1">
        <v>14</v>
      </c>
      <c r="B15" s="1" t="s">
        <v>48</v>
      </c>
      <c r="C15" s="1" t="s">
        <v>32</v>
      </c>
      <c r="D15" s="1">
        <v>6</v>
      </c>
      <c r="E15" s="1" t="s">
        <v>18</v>
      </c>
      <c r="F15" s="1">
        <v>27</v>
      </c>
      <c r="G15" s="1" t="s">
        <v>28</v>
      </c>
      <c r="H15" s="1" t="s">
        <v>14</v>
      </c>
      <c r="I15" s="1">
        <v>28436</v>
      </c>
      <c r="J15" s="1" t="s">
        <v>34</v>
      </c>
    </row>
    <row r="16" spans="1:10" x14ac:dyDescent="0.3">
      <c r="A16" s="1">
        <v>15</v>
      </c>
      <c r="B16" s="1" t="s">
        <v>49</v>
      </c>
      <c r="C16" s="1" t="s">
        <v>11</v>
      </c>
      <c r="D16" s="1">
        <v>10</v>
      </c>
      <c r="E16" s="1" t="s">
        <v>27</v>
      </c>
      <c r="F16" s="1">
        <v>49</v>
      </c>
      <c r="G16" s="1" t="s">
        <v>13</v>
      </c>
      <c r="H16" s="1" t="s">
        <v>33</v>
      </c>
      <c r="I16" s="1">
        <v>99290</v>
      </c>
      <c r="J16" s="1" t="s">
        <v>50</v>
      </c>
    </row>
    <row r="17" spans="1:10" x14ac:dyDescent="0.3">
      <c r="A17" s="1">
        <v>16</v>
      </c>
      <c r="B17" s="1" t="s">
        <v>51</v>
      </c>
      <c r="C17" s="1" t="s">
        <v>32</v>
      </c>
      <c r="D17" s="1">
        <v>4</v>
      </c>
      <c r="E17" s="1" t="s">
        <v>23</v>
      </c>
      <c r="F17" s="1">
        <v>49</v>
      </c>
      <c r="G17" s="1" t="s">
        <v>13</v>
      </c>
      <c r="H17" s="1" t="s">
        <v>14</v>
      </c>
      <c r="I17" s="1">
        <v>101213</v>
      </c>
      <c r="J17" s="1" t="s">
        <v>40</v>
      </c>
    </row>
    <row r="18" spans="1:10" x14ac:dyDescent="0.3">
      <c r="A18" s="1">
        <v>17</v>
      </c>
      <c r="B18" s="1" t="s">
        <v>52</v>
      </c>
      <c r="C18" s="1" t="s">
        <v>11</v>
      </c>
      <c r="D18" s="1">
        <v>18</v>
      </c>
      <c r="E18" s="1" t="s">
        <v>12</v>
      </c>
      <c r="F18" s="1">
        <v>41</v>
      </c>
      <c r="G18" s="1" t="s">
        <v>13</v>
      </c>
      <c r="H18" s="1" t="s">
        <v>24</v>
      </c>
      <c r="I18" s="1">
        <v>30895</v>
      </c>
      <c r="J18" s="1" t="s">
        <v>53</v>
      </c>
    </row>
    <row r="19" spans="1:10" x14ac:dyDescent="0.3">
      <c r="A19" s="1">
        <v>18</v>
      </c>
      <c r="B19" s="1" t="s">
        <v>54</v>
      </c>
      <c r="C19" s="1" t="s">
        <v>17</v>
      </c>
      <c r="D19" s="1">
        <v>12</v>
      </c>
      <c r="E19" s="1" t="s">
        <v>27</v>
      </c>
      <c r="F19" s="1">
        <v>51</v>
      </c>
      <c r="G19" s="1" t="s">
        <v>13</v>
      </c>
      <c r="H19" s="1" t="s">
        <v>55</v>
      </c>
      <c r="I19" s="1">
        <v>44738</v>
      </c>
      <c r="J19" s="1" t="s">
        <v>47</v>
      </c>
    </row>
    <row r="20" spans="1:10" x14ac:dyDescent="0.3">
      <c r="A20" s="1">
        <v>19</v>
      </c>
      <c r="B20" s="1" t="s">
        <v>56</v>
      </c>
      <c r="C20" s="1" t="s">
        <v>57</v>
      </c>
      <c r="D20" s="1">
        <v>2</v>
      </c>
      <c r="E20" s="1" t="s">
        <v>27</v>
      </c>
      <c r="F20" s="1">
        <v>32</v>
      </c>
      <c r="G20" s="1" t="s">
        <v>28</v>
      </c>
      <c r="H20" s="1" t="s">
        <v>55</v>
      </c>
      <c r="I20" s="1">
        <v>55746</v>
      </c>
      <c r="J20" s="1" t="s">
        <v>58</v>
      </c>
    </row>
    <row r="21" spans="1:10" x14ac:dyDescent="0.3">
      <c r="A21" s="1">
        <v>20</v>
      </c>
      <c r="B21" s="1" t="s">
        <v>59</v>
      </c>
      <c r="C21" s="1" t="s">
        <v>11</v>
      </c>
      <c r="D21" s="1">
        <v>10</v>
      </c>
      <c r="E21" s="1" t="s">
        <v>18</v>
      </c>
      <c r="F21" s="1">
        <v>49</v>
      </c>
      <c r="G21" s="1" t="s">
        <v>28</v>
      </c>
      <c r="H21" s="1" t="s">
        <v>19</v>
      </c>
      <c r="I21" s="1">
        <v>74377</v>
      </c>
      <c r="J21" s="1" t="s">
        <v>53</v>
      </c>
    </row>
    <row r="22" spans="1:10" x14ac:dyDescent="0.3">
      <c r="A22" s="1">
        <v>21</v>
      </c>
      <c r="B22" s="1" t="s">
        <v>60</v>
      </c>
      <c r="C22" s="1" t="s">
        <v>32</v>
      </c>
      <c r="D22" s="1">
        <v>4</v>
      </c>
      <c r="E22" s="1" t="s">
        <v>12</v>
      </c>
      <c r="F22" s="1">
        <v>46</v>
      </c>
      <c r="G22" s="1" t="s">
        <v>13</v>
      </c>
      <c r="H22" s="1" t="s">
        <v>14</v>
      </c>
      <c r="I22" s="1">
        <v>73404</v>
      </c>
      <c r="J22" s="1" t="s">
        <v>38</v>
      </c>
    </row>
    <row r="23" spans="1:10" x14ac:dyDescent="0.3">
      <c r="A23" s="1">
        <v>22</v>
      </c>
      <c r="B23" s="1" t="s">
        <v>61</v>
      </c>
      <c r="C23" s="1" t="s">
        <v>17</v>
      </c>
      <c r="D23" s="1">
        <v>14</v>
      </c>
      <c r="E23" s="1" t="s">
        <v>12</v>
      </c>
      <c r="F23" s="1">
        <v>54</v>
      </c>
      <c r="G23" s="1" t="s">
        <v>13</v>
      </c>
      <c r="H23" s="1" t="s">
        <v>14</v>
      </c>
      <c r="I23" s="1">
        <v>79045</v>
      </c>
      <c r="J23" s="1" t="s">
        <v>40</v>
      </c>
    </row>
    <row r="24" spans="1:10" x14ac:dyDescent="0.3">
      <c r="A24" s="1">
        <v>23</v>
      </c>
      <c r="B24" s="1" t="s">
        <v>62</v>
      </c>
      <c r="C24" s="1" t="s">
        <v>11</v>
      </c>
      <c r="D24" s="1">
        <v>16</v>
      </c>
      <c r="E24" s="1" t="s">
        <v>23</v>
      </c>
      <c r="F24" s="1">
        <v>22</v>
      </c>
      <c r="G24" s="1" t="s">
        <v>28</v>
      </c>
      <c r="H24" s="1" t="s">
        <v>19</v>
      </c>
      <c r="I24" s="1">
        <v>122888</v>
      </c>
      <c r="J24" s="1" t="s">
        <v>63</v>
      </c>
    </row>
    <row r="25" spans="1:10" x14ac:dyDescent="0.3">
      <c r="A25" s="1">
        <v>24</v>
      </c>
      <c r="B25" s="1" t="s">
        <v>64</v>
      </c>
      <c r="C25" s="1" t="s">
        <v>57</v>
      </c>
      <c r="D25" s="1">
        <v>15</v>
      </c>
      <c r="E25" s="1" t="s">
        <v>12</v>
      </c>
      <c r="F25" s="1">
        <v>48</v>
      </c>
      <c r="G25" s="1" t="s">
        <v>28</v>
      </c>
      <c r="H25" s="1" t="s">
        <v>19</v>
      </c>
      <c r="I25" s="1">
        <v>64790</v>
      </c>
      <c r="J25" s="1" t="s">
        <v>65</v>
      </c>
    </row>
    <row r="26" spans="1:10" x14ac:dyDescent="0.3">
      <c r="A26" s="1">
        <v>25</v>
      </c>
      <c r="B26" s="1" t="s">
        <v>66</v>
      </c>
      <c r="C26" s="1" t="s">
        <v>57</v>
      </c>
      <c r="D26" s="1">
        <v>8</v>
      </c>
      <c r="E26" s="1" t="s">
        <v>23</v>
      </c>
      <c r="F26" s="1">
        <v>34</v>
      </c>
      <c r="G26" s="1" t="s">
        <v>13</v>
      </c>
      <c r="H26" s="1" t="s">
        <v>19</v>
      </c>
      <c r="I26" s="1">
        <v>132455</v>
      </c>
      <c r="J26" s="1" t="s">
        <v>65</v>
      </c>
    </row>
    <row r="27" spans="1:10" x14ac:dyDescent="0.3">
      <c r="A27" s="1">
        <v>26</v>
      </c>
      <c r="B27" s="1" t="s">
        <v>67</v>
      </c>
      <c r="C27" s="1" t="s">
        <v>22</v>
      </c>
      <c r="D27" s="1">
        <v>14</v>
      </c>
      <c r="E27" s="1" t="s">
        <v>12</v>
      </c>
      <c r="F27" s="1">
        <v>24</v>
      </c>
      <c r="G27" s="1" t="s">
        <v>28</v>
      </c>
      <c r="H27" s="1" t="s">
        <v>24</v>
      </c>
      <c r="I27" s="1">
        <v>30600</v>
      </c>
      <c r="J27" s="1" t="s">
        <v>68</v>
      </c>
    </row>
    <row r="28" spans="1:10" x14ac:dyDescent="0.3">
      <c r="A28" s="1">
        <v>27</v>
      </c>
      <c r="B28" s="1" t="s">
        <v>69</v>
      </c>
      <c r="C28" s="1" t="s">
        <v>22</v>
      </c>
      <c r="D28" s="1">
        <v>8</v>
      </c>
      <c r="E28" s="1" t="s">
        <v>18</v>
      </c>
      <c r="F28" s="1">
        <v>27</v>
      </c>
      <c r="G28" s="1" t="s">
        <v>13</v>
      </c>
      <c r="H28" s="1" t="s">
        <v>14</v>
      </c>
      <c r="I28" s="1">
        <v>119660</v>
      </c>
      <c r="J28" s="1" t="s">
        <v>25</v>
      </c>
    </row>
    <row r="29" spans="1:10" x14ac:dyDescent="0.3">
      <c r="A29" s="1">
        <v>28</v>
      </c>
      <c r="B29" s="1" t="s">
        <v>70</v>
      </c>
      <c r="C29" s="1" t="s">
        <v>32</v>
      </c>
      <c r="D29" s="1">
        <v>16</v>
      </c>
      <c r="E29" s="1" t="s">
        <v>12</v>
      </c>
      <c r="F29" s="1">
        <v>29</v>
      </c>
      <c r="G29" s="1" t="s">
        <v>13</v>
      </c>
      <c r="H29" s="1" t="s">
        <v>24</v>
      </c>
      <c r="I29" s="1">
        <v>118179</v>
      </c>
      <c r="J29" s="1" t="s">
        <v>15</v>
      </c>
    </row>
    <row r="30" spans="1:10" x14ac:dyDescent="0.3">
      <c r="A30" s="1">
        <v>29</v>
      </c>
      <c r="B30" s="1" t="s">
        <v>71</v>
      </c>
      <c r="C30" s="1" t="s">
        <v>11</v>
      </c>
      <c r="D30" s="1">
        <v>13</v>
      </c>
      <c r="E30" s="1" t="s">
        <v>23</v>
      </c>
      <c r="F30" s="1">
        <v>48</v>
      </c>
      <c r="G30" s="1" t="s">
        <v>28</v>
      </c>
      <c r="H30" s="1" t="s">
        <v>19</v>
      </c>
      <c r="I30" s="1">
        <v>65764</v>
      </c>
      <c r="J30" s="1" t="s">
        <v>15</v>
      </c>
    </row>
    <row r="31" spans="1:10" x14ac:dyDescent="0.3">
      <c r="A31" s="1">
        <v>30</v>
      </c>
      <c r="B31" s="1" t="s">
        <v>72</v>
      </c>
      <c r="C31" s="1" t="s">
        <v>11</v>
      </c>
      <c r="D31" s="1">
        <v>18</v>
      </c>
      <c r="E31" s="1" t="s">
        <v>23</v>
      </c>
      <c r="F31" s="1">
        <v>30</v>
      </c>
      <c r="G31" s="1" t="s">
        <v>28</v>
      </c>
      <c r="H31" s="1" t="s">
        <v>14</v>
      </c>
      <c r="I31" s="1">
        <v>99543</v>
      </c>
      <c r="J31" s="1" t="s">
        <v>38</v>
      </c>
    </row>
    <row r="32" spans="1:10" x14ac:dyDescent="0.3">
      <c r="A32" s="1">
        <v>31</v>
      </c>
      <c r="B32" s="1" t="s">
        <v>73</v>
      </c>
      <c r="C32" s="1" t="s">
        <v>22</v>
      </c>
      <c r="D32" s="1">
        <v>15</v>
      </c>
      <c r="E32" s="1" t="s">
        <v>18</v>
      </c>
      <c r="F32" s="1">
        <v>54</v>
      </c>
      <c r="G32" s="1" t="s">
        <v>13</v>
      </c>
      <c r="H32" s="1" t="s">
        <v>24</v>
      </c>
      <c r="I32" s="1">
        <v>70714</v>
      </c>
      <c r="J32" s="1" t="s">
        <v>74</v>
      </c>
    </row>
    <row r="33" spans="1:10" x14ac:dyDescent="0.3">
      <c r="A33" s="1">
        <v>32</v>
      </c>
      <c r="B33" s="1" t="s">
        <v>75</v>
      </c>
      <c r="C33" s="1" t="s">
        <v>11</v>
      </c>
      <c r="D33" s="1">
        <v>13</v>
      </c>
      <c r="E33" s="1" t="s">
        <v>12</v>
      </c>
      <c r="F33" s="1">
        <v>45</v>
      </c>
      <c r="G33" s="1" t="s">
        <v>13</v>
      </c>
      <c r="H33" s="1" t="s">
        <v>24</v>
      </c>
      <c r="I33" s="1">
        <v>81835</v>
      </c>
      <c r="J33" s="1" t="s">
        <v>43</v>
      </c>
    </row>
    <row r="34" spans="1:10" x14ac:dyDescent="0.3">
      <c r="A34" s="1">
        <v>33</v>
      </c>
      <c r="B34" s="1" t="s">
        <v>76</v>
      </c>
      <c r="C34" s="1" t="s">
        <v>11</v>
      </c>
      <c r="D34" s="1">
        <v>9</v>
      </c>
      <c r="E34" s="1" t="s">
        <v>12</v>
      </c>
      <c r="F34" s="1">
        <v>36</v>
      </c>
      <c r="G34" s="1" t="s">
        <v>28</v>
      </c>
      <c r="H34" s="1" t="s">
        <v>19</v>
      </c>
      <c r="I34" s="1">
        <v>127946</v>
      </c>
      <c r="J34" s="1" t="s">
        <v>50</v>
      </c>
    </row>
    <row r="35" spans="1:10" x14ac:dyDescent="0.3">
      <c r="A35" s="1">
        <v>34</v>
      </c>
      <c r="B35" s="1" t="s">
        <v>77</v>
      </c>
      <c r="C35" s="1" t="s">
        <v>57</v>
      </c>
      <c r="D35" s="1">
        <v>15</v>
      </c>
      <c r="E35" s="1" t="s">
        <v>18</v>
      </c>
      <c r="F35" s="1">
        <v>53</v>
      </c>
      <c r="G35" s="1" t="s">
        <v>13</v>
      </c>
      <c r="H35" s="1" t="s">
        <v>14</v>
      </c>
      <c r="I35" s="1">
        <v>134616</v>
      </c>
      <c r="J35" s="1" t="s">
        <v>65</v>
      </c>
    </row>
    <row r="36" spans="1:10" x14ac:dyDescent="0.3">
      <c r="A36" s="1">
        <v>35</v>
      </c>
      <c r="B36" s="1" t="s">
        <v>78</v>
      </c>
      <c r="C36" s="1" t="s">
        <v>22</v>
      </c>
      <c r="D36" s="1">
        <v>13</v>
      </c>
      <c r="E36" s="1" t="s">
        <v>12</v>
      </c>
      <c r="F36" s="1">
        <v>53</v>
      </c>
      <c r="G36" s="1" t="s">
        <v>28</v>
      </c>
      <c r="H36" s="1" t="s">
        <v>19</v>
      </c>
      <c r="I36" s="1">
        <v>130983</v>
      </c>
      <c r="J36" s="1" t="s">
        <v>36</v>
      </c>
    </row>
    <row r="37" spans="1:10" x14ac:dyDescent="0.3">
      <c r="A37" s="1">
        <v>36</v>
      </c>
      <c r="B37" s="1" t="s">
        <v>79</v>
      </c>
      <c r="C37" s="1" t="s">
        <v>17</v>
      </c>
      <c r="D37" s="1">
        <v>1</v>
      </c>
      <c r="E37" s="1" t="s">
        <v>12</v>
      </c>
      <c r="F37" s="1">
        <v>45</v>
      </c>
      <c r="G37" s="1" t="s">
        <v>13</v>
      </c>
      <c r="H37" s="1" t="s">
        <v>14</v>
      </c>
      <c r="I37" s="1">
        <v>98744</v>
      </c>
      <c r="J37" s="1" t="s">
        <v>47</v>
      </c>
    </row>
    <row r="38" spans="1:10" x14ac:dyDescent="0.3">
      <c r="A38" s="1">
        <v>37</v>
      </c>
      <c r="B38" s="1" t="s">
        <v>80</v>
      </c>
      <c r="C38" s="1" t="s">
        <v>22</v>
      </c>
      <c r="D38" s="1">
        <v>7</v>
      </c>
      <c r="E38" s="1" t="s">
        <v>23</v>
      </c>
      <c r="F38" s="1">
        <v>33</v>
      </c>
      <c r="G38" s="1" t="s">
        <v>28</v>
      </c>
      <c r="H38" s="1" t="s">
        <v>55</v>
      </c>
      <c r="I38" s="1">
        <v>81491</v>
      </c>
      <c r="J38" s="1" t="s">
        <v>36</v>
      </c>
    </row>
    <row r="39" spans="1:10" x14ac:dyDescent="0.3">
      <c r="A39" s="1">
        <v>38</v>
      </c>
      <c r="B39" s="1" t="s">
        <v>81</v>
      </c>
      <c r="C39" s="1" t="s">
        <v>17</v>
      </c>
      <c r="D39" s="1">
        <v>9</v>
      </c>
      <c r="E39" s="1" t="s">
        <v>12</v>
      </c>
      <c r="F39" s="1">
        <v>23</v>
      </c>
      <c r="G39" s="1" t="s">
        <v>28</v>
      </c>
      <c r="H39" s="1" t="s">
        <v>33</v>
      </c>
      <c r="I39" s="1">
        <v>149123</v>
      </c>
      <c r="J39" s="1" t="s">
        <v>30</v>
      </c>
    </row>
    <row r="40" spans="1:10" x14ac:dyDescent="0.3">
      <c r="A40" s="1">
        <v>39</v>
      </c>
      <c r="B40" s="1" t="s">
        <v>82</v>
      </c>
      <c r="C40" s="1" t="s">
        <v>57</v>
      </c>
      <c r="D40" s="1">
        <v>1</v>
      </c>
      <c r="E40" s="1" t="s">
        <v>12</v>
      </c>
      <c r="F40" s="1">
        <v>24</v>
      </c>
      <c r="G40" s="1" t="s">
        <v>28</v>
      </c>
      <c r="H40" s="1" t="s">
        <v>33</v>
      </c>
      <c r="I40" s="1">
        <v>43589</v>
      </c>
      <c r="J40" s="1" t="s">
        <v>83</v>
      </c>
    </row>
    <row r="41" spans="1:10" x14ac:dyDescent="0.3">
      <c r="A41" s="1">
        <v>40</v>
      </c>
      <c r="B41" s="1" t="s">
        <v>84</v>
      </c>
      <c r="C41" s="1" t="s">
        <v>32</v>
      </c>
      <c r="D41" s="1">
        <v>12</v>
      </c>
      <c r="E41" s="1" t="s">
        <v>18</v>
      </c>
      <c r="F41" s="1">
        <v>38</v>
      </c>
      <c r="G41" s="1" t="s">
        <v>13</v>
      </c>
      <c r="H41" s="1" t="s">
        <v>33</v>
      </c>
      <c r="I41" s="1">
        <v>68484</v>
      </c>
      <c r="J41" s="1" t="s">
        <v>15</v>
      </c>
    </row>
    <row r="42" spans="1:10" x14ac:dyDescent="0.3">
      <c r="A42" s="1">
        <v>41</v>
      </c>
      <c r="B42" s="1" t="s">
        <v>85</v>
      </c>
      <c r="C42" s="1" t="s">
        <v>11</v>
      </c>
      <c r="D42" s="1">
        <v>8</v>
      </c>
      <c r="E42" s="1" t="s">
        <v>18</v>
      </c>
      <c r="F42" s="1">
        <v>23</v>
      </c>
      <c r="G42" s="1" t="s">
        <v>13</v>
      </c>
      <c r="H42" s="1" t="s">
        <v>19</v>
      </c>
      <c r="I42" s="1">
        <v>107989</v>
      </c>
      <c r="J42" s="1" t="s">
        <v>43</v>
      </c>
    </row>
    <row r="43" spans="1:10" x14ac:dyDescent="0.3">
      <c r="A43" s="1">
        <v>42</v>
      </c>
      <c r="B43" s="1" t="s">
        <v>86</v>
      </c>
      <c r="C43" s="1" t="s">
        <v>57</v>
      </c>
      <c r="D43" s="1">
        <v>11</v>
      </c>
      <c r="E43" s="1" t="s">
        <v>27</v>
      </c>
      <c r="F43" s="1">
        <v>23</v>
      </c>
      <c r="G43" s="1" t="s">
        <v>28</v>
      </c>
      <c r="H43" s="1" t="s">
        <v>55</v>
      </c>
      <c r="I43" s="1">
        <v>61212</v>
      </c>
      <c r="J43" s="1" t="s">
        <v>83</v>
      </c>
    </row>
    <row r="44" spans="1:10" x14ac:dyDescent="0.3">
      <c r="A44" s="1">
        <v>43</v>
      </c>
      <c r="B44" s="1" t="s">
        <v>87</v>
      </c>
      <c r="C44" s="1" t="s">
        <v>11</v>
      </c>
      <c r="D44" s="1">
        <v>19</v>
      </c>
      <c r="E44" s="1" t="s">
        <v>23</v>
      </c>
      <c r="F44" s="1">
        <v>49</v>
      </c>
      <c r="G44" s="1" t="s">
        <v>13</v>
      </c>
      <c r="H44" s="1" t="s">
        <v>14</v>
      </c>
      <c r="I44" s="1">
        <v>68525</v>
      </c>
      <c r="J44" s="1" t="s">
        <v>50</v>
      </c>
    </row>
    <row r="45" spans="1:10" x14ac:dyDescent="0.3">
      <c r="A45" s="1">
        <v>44</v>
      </c>
      <c r="B45" s="1" t="s">
        <v>88</v>
      </c>
      <c r="C45" s="1" t="s">
        <v>32</v>
      </c>
      <c r="D45" s="1">
        <v>17</v>
      </c>
      <c r="E45" s="1" t="s">
        <v>12</v>
      </c>
      <c r="F45" s="1">
        <v>44</v>
      </c>
      <c r="G45" s="1" t="s">
        <v>28</v>
      </c>
      <c r="H45" s="1" t="s">
        <v>24</v>
      </c>
      <c r="I45" s="1">
        <v>72202</v>
      </c>
      <c r="J45" s="1" t="s">
        <v>15</v>
      </c>
    </row>
    <row r="46" spans="1:10" x14ac:dyDescent="0.3">
      <c r="A46" s="1">
        <v>45</v>
      </c>
      <c r="B46" s="1" t="s">
        <v>89</v>
      </c>
      <c r="C46" s="1" t="s">
        <v>32</v>
      </c>
      <c r="D46" s="1">
        <v>8</v>
      </c>
      <c r="E46" s="1" t="s">
        <v>12</v>
      </c>
      <c r="F46" s="1">
        <v>53</v>
      </c>
      <c r="G46" s="1" t="s">
        <v>28</v>
      </c>
      <c r="H46" s="1" t="s">
        <v>14</v>
      </c>
      <c r="I46" s="1">
        <v>57635</v>
      </c>
      <c r="J46" s="1" t="s">
        <v>90</v>
      </c>
    </row>
    <row r="47" spans="1:10" x14ac:dyDescent="0.3">
      <c r="A47" s="1">
        <v>46</v>
      </c>
      <c r="B47" s="1" t="s">
        <v>91</v>
      </c>
      <c r="C47" s="1" t="s">
        <v>57</v>
      </c>
      <c r="D47" s="1">
        <v>3</v>
      </c>
      <c r="E47" s="1" t="s">
        <v>27</v>
      </c>
      <c r="F47" s="1">
        <v>54</v>
      </c>
      <c r="G47" s="1" t="s">
        <v>13</v>
      </c>
      <c r="H47" s="1" t="s">
        <v>24</v>
      </c>
      <c r="I47" s="1">
        <v>88208</v>
      </c>
      <c r="J47" s="1" t="s">
        <v>92</v>
      </c>
    </row>
    <row r="48" spans="1:10" x14ac:dyDescent="0.3">
      <c r="A48" s="1">
        <v>47</v>
      </c>
      <c r="B48" s="1" t="s">
        <v>93</v>
      </c>
      <c r="C48" s="1" t="s">
        <v>32</v>
      </c>
      <c r="D48" s="1">
        <v>3</v>
      </c>
      <c r="E48" s="1" t="s">
        <v>12</v>
      </c>
      <c r="F48" s="1">
        <v>22</v>
      </c>
      <c r="G48" s="1" t="s">
        <v>13</v>
      </c>
      <c r="H48" s="1" t="s">
        <v>14</v>
      </c>
      <c r="I48" s="1">
        <v>58828</v>
      </c>
      <c r="J48" s="1" t="s">
        <v>90</v>
      </c>
    </row>
    <row r="49" spans="1:10" x14ac:dyDescent="0.3">
      <c r="A49" s="1">
        <v>48</v>
      </c>
      <c r="B49" s="1" t="s">
        <v>94</v>
      </c>
      <c r="C49" s="1" t="s">
        <v>17</v>
      </c>
      <c r="D49" s="1">
        <v>1</v>
      </c>
      <c r="E49" s="1" t="s">
        <v>23</v>
      </c>
      <c r="F49" s="1">
        <v>40</v>
      </c>
      <c r="G49" s="1" t="s">
        <v>28</v>
      </c>
      <c r="H49" s="1" t="s">
        <v>55</v>
      </c>
      <c r="I49" s="1">
        <v>43711</v>
      </c>
      <c r="J49" s="1" t="s">
        <v>20</v>
      </c>
    </row>
    <row r="50" spans="1:10" x14ac:dyDescent="0.3">
      <c r="A50" s="1">
        <v>49</v>
      </c>
      <c r="B50" s="1" t="s">
        <v>95</v>
      </c>
      <c r="C50" s="1" t="s">
        <v>32</v>
      </c>
      <c r="D50" s="1">
        <v>5</v>
      </c>
      <c r="E50" s="1" t="s">
        <v>27</v>
      </c>
      <c r="F50" s="1">
        <v>23</v>
      </c>
      <c r="G50" s="1" t="s">
        <v>13</v>
      </c>
      <c r="H50" s="1" t="s">
        <v>24</v>
      </c>
      <c r="I50" s="1">
        <v>28420</v>
      </c>
      <c r="J50" s="1" t="s">
        <v>96</v>
      </c>
    </row>
    <row r="51" spans="1:10" x14ac:dyDescent="0.3">
      <c r="A51" s="1">
        <v>50</v>
      </c>
      <c r="B51" s="1" t="s">
        <v>97</v>
      </c>
      <c r="C51" s="1" t="s">
        <v>11</v>
      </c>
      <c r="D51" s="1">
        <v>10</v>
      </c>
      <c r="E51" s="1" t="s">
        <v>23</v>
      </c>
      <c r="F51" s="1">
        <v>47</v>
      </c>
      <c r="G51" s="1" t="s">
        <v>13</v>
      </c>
      <c r="H51" s="1" t="s">
        <v>19</v>
      </c>
      <c r="I51" s="1">
        <v>121752</v>
      </c>
      <c r="J51" s="1"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85FD2-4823-47C1-A483-E11A069379FB}">
  <dimension ref="A34"/>
  <sheetViews>
    <sheetView tabSelected="1" zoomScale="56" zoomScaleNormal="43" workbookViewId="0">
      <selection activeCell="A5" sqref="A5"/>
    </sheetView>
  </sheetViews>
  <sheetFormatPr defaultRowHeight="15.6" x14ac:dyDescent="0.3"/>
  <sheetData>
    <row r="34"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Report</vt:lpstr>
      <vt:lpstr>Rawdata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Singh</dc:creator>
  <cp:lastModifiedBy>Aman Yadav</cp:lastModifiedBy>
  <dcterms:created xsi:type="dcterms:W3CDTF">2026-01-27T09:46:48Z</dcterms:created>
  <dcterms:modified xsi:type="dcterms:W3CDTF">2026-02-10T18:40:23Z</dcterms:modified>
</cp:coreProperties>
</file>